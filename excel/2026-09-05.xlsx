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题目" sheetId="1" state="visible" r:id="rId1"/>
    <sheet name="答案" sheetId="2" state="visible" r:id="rId2"/>
    <sheet name="讲解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2F6FED"/>
      <sz val="13"/>
    </font>
    <font>
      <b val="1"/>
      <color rgb="00FFFFFF"/>
      <sz val="12"/>
    </font>
    <font>
      <i val="1"/>
      <color rgb="00888888"/>
    </font>
    <font>
      <b val="1"/>
    </font>
  </fonts>
  <fills count="3">
    <fill>
      <patternFill/>
    </fill>
    <fill>
      <patternFill patternType="gray125"/>
    </fill>
    <fill>
      <patternFill patternType="solid">
        <fgColor rgb="002F6FED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0"/>
  <sheetViews>
    <sheetView workbookViewId="0">
      <selection activeCell="A1" sqref="A1"/>
    </sheetView>
  </sheetViews>
  <sheetFormatPr baseColWidth="8" defaultRowHeight="15"/>
  <cols>
    <col width="2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第 1 题：第1题：统计某销售员在指定月份的总销售额</t>
        </is>
      </c>
    </row>
    <row r="2">
      <c r="A2" t="inlineStr">
        <is>
          <t>练习函数：SUMIFS</t>
        </is>
      </c>
    </row>
    <row r="3">
      <c r="A3" s="2" t="inlineStr">
        <is>
          <t>要求：你是一家销售公司的助理，需要从销售明细表中快速统计出'张伟'在'2024年3月'的总销售额。表格中有销售员、销售日期和销售额三列，共10条记录。</t>
        </is>
      </c>
    </row>
    <row r="4">
      <c r="A4" s="2" t="inlineStr">
        <is>
          <t>任务：请在单元格E2输入公式，计算销售员为“张伟”且销售日期在2024年3月1日至3月31日之间的销售额总和。</t>
        </is>
      </c>
    </row>
    <row r="5">
      <c r="A5" s="3" t="inlineStr">
        <is>
          <t>销售员</t>
        </is>
      </c>
      <c r="B5" s="3" t="inlineStr">
        <is>
          <t>销售日期</t>
        </is>
      </c>
      <c r="C5" s="3" t="inlineStr">
        <is>
          <t>销售额</t>
        </is>
      </c>
    </row>
    <row r="6">
      <c r="A6" s="4" t="inlineStr">
        <is>
          <t>张伟</t>
        </is>
      </c>
      <c r="B6" s="4" t="inlineStr">
        <is>
          <t>2024-03-05</t>
        </is>
      </c>
      <c r="C6" s="4" t="n">
        <v>1200</v>
      </c>
    </row>
    <row r="7">
      <c r="A7" s="4" t="inlineStr">
        <is>
          <t>李娜</t>
        </is>
      </c>
      <c r="B7" s="4" t="inlineStr">
        <is>
          <t>2024-03-08</t>
        </is>
      </c>
      <c r="C7" s="4" t="n">
        <v>800</v>
      </c>
    </row>
    <row r="8">
      <c r="A8" s="4" t="inlineStr">
        <is>
          <t>张伟</t>
        </is>
      </c>
      <c r="B8" s="4" t="inlineStr">
        <is>
          <t>2024-03-12</t>
        </is>
      </c>
      <c r="C8" s="4" t="n">
        <v>1500</v>
      </c>
    </row>
    <row r="9">
      <c r="A9" s="4" t="inlineStr">
        <is>
          <t>王强</t>
        </is>
      </c>
      <c r="B9" s="4" t="inlineStr">
        <is>
          <t>2024-03-15</t>
        </is>
      </c>
      <c r="C9" s="4" t="n">
        <v>900</v>
      </c>
    </row>
    <row r="10">
      <c r="A10" s="4" t="inlineStr">
        <is>
          <t>张伟</t>
        </is>
      </c>
      <c r="B10" s="4" t="inlineStr">
        <is>
          <t>2024-04-01</t>
        </is>
      </c>
      <c r="C10" s="4" t="n">
        <v>2000</v>
      </c>
    </row>
    <row r="11">
      <c r="A11" s="4" t="inlineStr">
        <is>
          <t>李娜</t>
        </is>
      </c>
      <c r="B11" s="4" t="inlineStr">
        <is>
          <t>2024-03-20</t>
        </is>
      </c>
      <c r="C11" s="4" t="n">
        <v>1100</v>
      </c>
    </row>
    <row r="12">
      <c r="A12" s="4" t="inlineStr">
        <is>
          <t>张伟</t>
        </is>
      </c>
      <c r="B12" s="4" t="inlineStr">
        <is>
          <t>2024-03-28</t>
        </is>
      </c>
      <c r="C12" s="4" t="n">
        <v>1700</v>
      </c>
    </row>
    <row r="13">
      <c r="A13" s="4" t="inlineStr">
        <is>
          <t>王强</t>
        </is>
      </c>
      <c r="B13" s="4" t="inlineStr">
        <is>
          <t>2024-04-02</t>
        </is>
      </c>
      <c r="C13" s="4" t="n">
        <v>1300</v>
      </c>
    </row>
    <row r="14">
      <c r="A14" s="4" t="inlineStr">
        <is>
          <t>李娜</t>
        </is>
      </c>
      <c r="B14" s="4" t="inlineStr">
        <is>
          <t>2024-04-05</t>
        </is>
      </c>
      <c r="C14" s="4" t="n">
        <v>950</v>
      </c>
    </row>
    <row r="15">
      <c r="A15" s="4" t="inlineStr">
        <is>
          <t>张伟</t>
        </is>
      </c>
      <c r="B15" s="4" t="inlineStr">
        <is>
          <t>2024-04-10</t>
        </is>
      </c>
      <c r="C15" s="4" t="n">
        <v>1850</v>
      </c>
    </row>
    <row r="16">
      <c r="A16" s="5" t="inlineStr">
        <is>
          <t>↓ 你的公式 / 答案（在下方单元格输入）：</t>
        </is>
      </c>
    </row>
    <row r="18">
      <c r="A18" s="1" t="inlineStr">
        <is>
          <t>第 2 题：第2题：计算员工自入职以来的工作年数</t>
        </is>
      </c>
    </row>
    <row r="19">
      <c r="A19" t="inlineStr">
        <is>
          <t>练习函数：DATEDIF</t>
        </is>
      </c>
    </row>
    <row r="20">
      <c r="A20" s="2" t="inlineStr">
        <is>
          <t>要求：你负责公司人事档案，需要计算每位员工从入职日期到今天为止的工作年数（满年数，不满一年不算）。今天是2024年5月15日，表格中列出了部分员工的入职日期。</t>
        </is>
      </c>
    </row>
    <row r="21">
      <c r="A21" s="2" t="inlineStr">
        <is>
          <t>任务：请在C2单元格输入公式，根据入职日期（B2）计算截至今天（2024-05-15）的工作年数，并下拉填充到C6。</t>
        </is>
      </c>
    </row>
    <row r="22">
      <c r="A22" s="3" t="inlineStr">
        <is>
          <t>员工姓名</t>
        </is>
      </c>
      <c r="B22" s="3" t="inlineStr">
        <is>
          <t>入职日期</t>
        </is>
      </c>
    </row>
    <row r="23">
      <c r="A23" s="4" t="inlineStr">
        <is>
          <t>赵敏</t>
        </is>
      </c>
      <c r="B23" s="4" t="inlineStr">
        <is>
          <t>2019-03-10</t>
        </is>
      </c>
    </row>
    <row r="24">
      <c r="A24" s="4" t="inlineStr">
        <is>
          <t>钱进</t>
        </is>
      </c>
      <c r="B24" s="4" t="inlineStr">
        <is>
          <t>2021-07-01</t>
        </is>
      </c>
    </row>
    <row r="25">
      <c r="A25" s="4" t="inlineStr">
        <is>
          <t>孙丽</t>
        </is>
      </c>
      <c r="B25" s="4" t="inlineStr">
        <is>
          <t>2022-11-20</t>
        </is>
      </c>
    </row>
    <row r="26">
      <c r="A26" s="4" t="inlineStr">
        <is>
          <t>李浩</t>
        </is>
      </c>
      <c r="B26" s="4" t="inlineStr">
        <is>
          <t>2020-01-15</t>
        </is>
      </c>
    </row>
    <row r="27">
      <c r="A27" s="4" t="inlineStr">
        <is>
          <t>周芳</t>
        </is>
      </c>
      <c r="B27" s="4" t="inlineStr">
        <is>
          <t>2023-05-16</t>
        </is>
      </c>
    </row>
    <row r="28">
      <c r="A28" s="5" t="inlineStr">
        <is>
          <t>↓ 你的公式 / 答案（在下方单元格输入）：</t>
        </is>
      </c>
    </row>
    <row r="30">
      <c r="A30" s="1" t="inlineStr">
        <is>
          <t>第 3 题：第3题：查找物料单价并计算含税总价（四舍五入）</t>
        </is>
      </c>
    </row>
    <row r="31">
      <c r="A31" t="inlineStr">
        <is>
          <t>练习函数：XLOOKUP</t>
        </is>
      </c>
    </row>
    <row r="32">
      <c r="A32" s="2" t="inlineStr">
        <is>
          <t>要求：你在一家贸易公司，需要根据客户订单中的物料编码，从价格表中查找对应单价，再计算每个订单的含税总价（单价×数量×1.13），并保留2位小数。价格表如下（数据区A1:B5）。订单表在下方（数据区从第7行开始）。</t>
        </is>
      </c>
    </row>
    <row r="33">
      <c r="A33" s="2" t="inlineStr">
        <is>
          <t>任务：请在订单表的E9单元格（对应第1个订单）输入公式，查找该订单物料编码的单价，并计算含税总价（单价×数量×1.13），结果四舍五入到2位小数。之后可下拉填充至E12。</t>
        </is>
      </c>
    </row>
    <row r="34">
      <c r="A34" s="3" t="inlineStr">
        <is>
          <t>物料编码</t>
        </is>
      </c>
      <c r="B34" s="3" t="inlineStr">
        <is>
          <t>单价</t>
        </is>
      </c>
      <c r="C34" s="3" t="n"/>
    </row>
    <row r="35">
      <c r="A35" s="4" t="inlineStr">
        <is>
          <t>A101</t>
        </is>
      </c>
      <c r="B35" s="4" t="n">
        <v>25.5</v>
      </c>
    </row>
    <row r="36">
      <c r="A36" s="4" t="inlineStr">
        <is>
          <t>A102</t>
        </is>
      </c>
      <c r="B36" s="4" t="n">
        <v>40</v>
      </c>
    </row>
    <row r="37">
      <c r="A37" s="4" t="inlineStr">
        <is>
          <t>B201</t>
        </is>
      </c>
      <c r="B37" s="4" t="n">
        <v>15.8</v>
      </c>
    </row>
    <row r="38">
      <c r="A38" s="4" t="inlineStr">
        <is>
          <t>B202</t>
        </is>
      </c>
      <c r="B38" s="4" t="n">
        <v>60.25</v>
      </c>
    </row>
    <row r="39">
      <c r="A39" s="4" t="inlineStr">
        <is>
          <t>订单序号</t>
        </is>
      </c>
      <c r="B39" s="4" t="inlineStr">
        <is>
          <t>物料编码</t>
        </is>
      </c>
      <c r="C39" s="4" t="inlineStr">
        <is>
          <t>数量</t>
        </is>
      </c>
    </row>
    <row r="40">
      <c r="A40" s="4" t="n">
        <v>1</v>
      </c>
      <c r="B40" s="4" t="inlineStr">
        <is>
          <t>A101</t>
        </is>
      </c>
      <c r="C40" s="4" t="n">
        <v>10</v>
      </c>
    </row>
    <row r="41">
      <c r="A41" s="4" t="n">
        <v>2</v>
      </c>
      <c r="B41" s="4" t="inlineStr">
        <is>
          <t>B202</t>
        </is>
      </c>
      <c r="C41" s="4" t="n">
        <v>5</v>
      </c>
    </row>
    <row r="42">
      <c r="A42" s="4" t="n">
        <v>3</v>
      </c>
      <c r="B42" s="4" t="inlineStr">
        <is>
          <t>A102</t>
        </is>
      </c>
      <c r="C42" s="4" t="n">
        <v>20</v>
      </c>
    </row>
    <row r="43">
      <c r="A43" s="4" t="n">
        <v>4</v>
      </c>
      <c r="B43" s="4" t="inlineStr">
        <is>
          <t>B201</t>
        </is>
      </c>
      <c r="C43" s="4" t="n">
        <v>30</v>
      </c>
    </row>
    <row r="44">
      <c r="A44" s="5" t="inlineStr">
        <is>
          <t>↓ 你的公式 / 答案（在下方单元格输入）：</t>
        </is>
      </c>
    </row>
    <row r="46">
      <c r="A46" s="1" t="inlineStr">
        <is>
          <t>第 4 题：第4题：从物流单号中提取区域代码和客户编号</t>
        </is>
      </c>
    </row>
    <row r="47">
      <c r="A47" s="2" t="inlineStr">
        <is>
          <t>要求：你在物流公司做数据录入，每张运单的运单号有固定格式：前2位是区域代码，第3-6位是客户编号，最后4位是包裹序号。例如'SH1034-221'中区域SH，客户1034，包裹序号221。现在需要从运单号中提取区域代码和客户编号。</t>
        </is>
      </c>
    </row>
    <row r="48">
      <c r="A48" s="2" t="inlineStr">
        <is>
          <t>任务：请在B2输入公式提取区域代码（前2位），在C2输入公式提取客户编号（第3-6位，共4位），下拉填充至第6行。</t>
        </is>
      </c>
    </row>
    <row r="49">
      <c r="A49" s="3" t="inlineStr">
        <is>
          <t>运单号</t>
        </is>
      </c>
    </row>
    <row r="50">
      <c r="A50" s="4" t="inlineStr">
        <is>
          <t>SH1034-221</t>
        </is>
      </c>
    </row>
    <row r="51">
      <c r="A51" s="4" t="inlineStr">
        <is>
          <t>BJ2087-045</t>
        </is>
      </c>
    </row>
    <row r="52">
      <c r="A52" s="4" t="inlineStr">
        <is>
          <t>GZ3319-882</t>
        </is>
      </c>
    </row>
    <row r="53">
      <c r="A53" s="4" t="inlineStr">
        <is>
          <t>SZ4190-556</t>
        </is>
      </c>
    </row>
    <row r="54">
      <c r="A54" s="4" t="inlineStr">
        <is>
          <t>CD2251-003</t>
        </is>
      </c>
    </row>
    <row r="55">
      <c r="A55" s="5" t="inlineStr">
        <is>
          <t>↓ 你的公式 / 答案（在下方单元格输入）：</t>
        </is>
      </c>
    </row>
    <row r="57">
      <c r="A57" s="1" t="inlineStr">
        <is>
          <t>第 5 题：第5题：根据班级和排名返回学生姓名（INDEX+MATCH）</t>
        </is>
      </c>
    </row>
    <row r="58">
      <c r="A58" s="2" t="inlineStr">
        <is>
          <t>要求：你是一位老师，需要根据学生所在班级和考试排名，快速查找对应学生的姓名。现有学生名单表（A1:C10），包含班级、排名、姓名。请你实现通过输入班级和排名，自动返回姓名。</t>
        </is>
      </c>
    </row>
    <row r="59">
      <c r="A59" s="2" t="inlineStr">
        <is>
          <t>任务：请在E2输入班级（如“B班”），在F2输入排名（如2），然后在G2输入公式，根据E2和F2的值返回对应学生姓名。</t>
        </is>
      </c>
    </row>
    <row r="60">
      <c r="A60" s="3" t="inlineStr">
        <is>
          <t>班级</t>
        </is>
      </c>
      <c r="B60" s="3" t="inlineStr">
        <is>
          <t>排名</t>
        </is>
      </c>
      <c r="C60" s="3" t="inlineStr">
        <is>
          <t>姓名</t>
        </is>
      </c>
    </row>
    <row r="61">
      <c r="A61" s="4" t="inlineStr">
        <is>
          <t>A班</t>
        </is>
      </c>
      <c r="B61" s="4" t="n">
        <v>1</v>
      </c>
      <c r="C61" s="4" t="inlineStr">
        <is>
          <t>张小明</t>
        </is>
      </c>
    </row>
    <row r="62">
      <c r="A62" s="4" t="inlineStr">
        <is>
          <t>A班</t>
        </is>
      </c>
      <c r="B62" s="4" t="n">
        <v>2</v>
      </c>
      <c r="C62" s="4" t="inlineStr">
        <is>
          <t>李小红</t>
        </is>
      </c>
    </row>
    <row r="63">
      <c r="A63" s="4" t="inlineStr">
        <is>
          <t>A班</t>
        </is>
      </c>
      <c r="B63" s="4" t="n">
        <v>3</v>
      </c>
      <c r="C63" s="4" t="inlineStr">
        <is>
          <t>王大力</t>
        </is>
      </c>
    </row>
    <row r="64">
      <c r="A64" s="4" t="inlineStr">
        <is>
          <t>B班</t>
        </is>
      </c>
      <c r="B64" s="4" t="n">
        <v>1</v>
      </c>
      <c r="C64" s="4" t="inlineStr">
        <is>
          <t>赵小刚</t>
        </is>
      </c>
    </row>
    <row r="65">
      <c r="A65" s="4" t="inlineStr">
        <is>
          <t>B班</t>
        </is>
      </c>
      <c r="B65" s="4" t="n">
        <v>2</v>
      </c>
      <c r="C65" s="4" t="inlineStr">
        <is>
          <t>陈静</t>
        </is>
      </c>
    </row>
    <row r="66">
      <c r="A66" s="4" t="inlineStr">
        <is>
          <t>B班</t>
        </is>
      </c>
      <c r="B66" s="4" t="n">
        <v>3</v>
      </c>
      <c r="C66" s="4" t="inlineStr">
        <is>
          <t>刘洋</t>
        </is>
      </c>
    </row>
    <row r="67">
      <c r="A67" s="4" t="inlineStr">
        <is>
          <t>C班</t>
        </is>
      </c>
      <c r="B67" s="4" t="n">
        <v>1</v>
      </c>
      <c r="C67" s="4" t="inlineStr">
        <is>
          <t>孙悦</t>
        </is>
      </c>
    </row>
    <row r="68">
      <c r="A68" s="4" t="inlineStr">
        <is>
          <t>C班</t>
        </is>
      </c>
      <c r="B68" s="4" t="n">
        <v>2</v>
      </c>
      <c r="C68" s="4" t="inlineStr">
        <is>
          <t>周杰</t>
        </is>
      </c>
    </row>
    <row r="69">
      <c r="A69" s="4" t="inlineStr">
        <is>
          <t>C班</t>
        </is>
      </c>
      <c r="B69" s="4" t="n">
        <v>3</v>
      </c>
      <c r="C69" s="4" t="inlineStr">
        <is>
          <t>吴倩</t>
        </is>
      </c>
    </row>
    <row r="70">
      <c r="A70" s="5" t="inlineStr">
        <is>
          <t>↓ 你的公式 / 答案（在下方单元格输入）：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cols>
    <col width="16" customWidth="1" min="1" max="1"/>
    <col width="80" customWidth="1" min="2" max="2"/>
  </cols>
  <sheetData>
    <row r="1">
      <c r="A1" s="1" t="inlineStr">
        <is>
          <t>第 1 题：第1题：统计某销售员在指定月份的总销售额</t>
        </is>
      </c>
    </row>
    <row r="2">
      <c r="A2" s="6" t="inlineStr">
        <is>
          <t>答案：</t>
        </is>
      </c>
      <c r="B2" s="2">
        <f>SUMIFS(C2:C11, A2:A11, "张伟", B2:B11, "&gt;=2024-03-01", B2:B11, "&lt;=2024-03-31")</f>
        <v/>
      </c>
    </row>
    <row r="3">
      <c r="A3" t="inlineStr">
        <is>
          <t>（可直接复制公式到题目文件对应单元格验证）</t>
        </is>
      </c>
    </row>
    <row r="5">
      <c r="A5" s="1" t="inlineStr">
        <is>
          <t>第 2 题：第2题：计算员工自入职以来的工作年数</t>
        </is>
      </c>
    </row>
    <row r="6">
      <c r="A6" s="6" t="inlineStr">
        <is>
          <t>答案：</t>
        </is>
      </c>
      <c r="B6" s="2">
        <f>DATEDIF(B2, TODAY(), "Y")</f>
        <v/>
      </c>
    </row>
    <row r="7">
      <c r="A7" t="inlineStr">
        <is>
          <t>（可直接复制公式到题目文件对应单元格验证）</t>
        </is>
      </c>
    </row>
    <row r="9">
      <c r="A9" s="1" t="inlineStr">
        <is>
          <t>第 3 题：第3题：查找物料单价并计算含税总价（四舍五入）</t>
        </is>
      </c>
    </row>
    <row r="10">
      <c r="A10" s="6" t="inlineStr">
        <is>
          <t>答案：</t>
        </is>
      </c>
      <c r="B10" s="2">
        <f>ROUND(XLOOKUP(B9, $A$2:$A$5, $B$2:$B$5) * C9 * 1.13, 2)</f>
        <v/>
      </c>
    </row>
    <row r="11">
      <c r="A11" t="inlineStr">
        <is>
          <t>（可直接复制公式到题目文件对应单元格验证）</t>
        </is>
      </c>
    </row>
    <row r="13">
      <c r="A13" s="1" t="inlineStr">
        <is>
          <t>第 4 题：第4题：从物流单号中提取区域代码和客户编号</t>
        </is>
      </c>
    </row>
    <row r="14">
      <c r="A14" s="6" t="inlineStr">
        <is>
          <t>答案：</t>
        </is>
      </c>
      <c r="B14" s="2" t="inlineStr">
        <is>
          <t>B2公式：=LEFT(A2,2)；C2公式：=MID(A2,3,4)</t>
        </is>
      </c>
    </row>
    <row r="15">
      <c r="A15" t="inlineStr">
        <is>
          <t>（可直接复制公式到题目文件对应单元格验证）</t>
        </is>
      </c>
    </row>
    <row r="17">
      <c r="A17" s="1" t="inlineStr">
        <is>
          <t>第 5 题：第5题：根据班级和排名返回学生姓名（INDEX+MATCH）</t>
        </is>
      </c>
    </row>
    <row r="18">
      <c r="A18" s="6" t="inlineStr">
        <is>
          <t>答案：</t>
        </is>
      </c>
      <c r="B18" s="2">
        <f>INDEX(C2:C10, MATCH(1, (A2:A10=E2)*(B2:B10=F2), 0))</f>
        <v/>
      </c>
    </row>
    <row r="19">
      <c r="A19" t="inlineStr">
        <is>
          <t>（可直接复制公式到题目文件对应单元格验证）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16" customWidth="1" min="1" max="1"/>
    <col width="90" customWidth="1" min="2" max="2"/>
  </cols>
  <sheetData>
    <row r="1">
      <c r="A1" s="1" t="inlineStr">
        <is>
          <t>第 1 题：第1题：统计某销售员在指定月份的总销售额</t>
        </is>
      </c>
    </row>
    <row r="2">
      <c r="A2" s="6" t="inlineStr">
        <is>
          <t>讲解：</t>
        </is>
      </c>
      <c r="B2" s="2" t="inlineStr">
        <is>
          <t>SUMIFS函数用于根据多个条件求和。语法为：SUMIFS(求和区域, 条件区域1, 条件1, [条件区域2, 条件2], ...)。本题中求和区域是销售额C2:C11，第一个条件区域是销售员A列，条件为'张伟'；第二个条件区域是日期B列，条件需同时满足大于等于3月1日和小于等于3月31日（用两个条件区域对同一列进行限制）。注意日期要用英文双引号括起来，Excel会识别为日期格式。</t>
        </is>
      </c>
    </row>
    <row r="4">
      <c r="A4" s="1" t="inlineStr">
        <is>
          <t>第 2 题：第2题：计算员工自入职以来的工作年数</t>
        </is>
      </c>
    </row>
    <row r="5">
      <c r="A5" s="6" t="inlineStr">
        <is>
          <t>讲解：</t>
        </is>
      </c>
      <c r="B5" s="2" t="inlineStr">
        <is>
          <t>DATEDIF用于计算两个日期之间的差值，语法：DATEDIF(开始日期, 结束日期, 单位)。单位"Y"表示完整年数，"M"为月，"D"为天。TODAY()函数自动返回当前日期。注意：若开始日期晚于结束日期会返回错误。本例中“周芳”入职2023-05-16，到2024-05-15刚好不满一年，结果为0。</t>
        </is>
      </c>
    </row>
    <row r="7">
      <c r="A7" s="1" t="inlineStr">
        <is>
          <t>第 3 题：第3题：查找物料单价并计算含税总价（四舍五入）</t>
        </is>
      </c>
    </row>
    <row r="8">
      <c r="A8" s="6" t="inlineStr">
        <is>
          <t>讲解：</t>
        </is>
      </c>
      <c r="B8" s="2" t="inlineStr">
        <is>
          <t>XLOOKUP语法：XLOOKUP(查找值, 查找数组, 返回数组)。这里查找B9的物料编码，在价格表的A2:A5中查找，返回对应的B2:B5单价。然后乘以数量C9再乘1.13，得到含税总价。ROUND函数将结果四舍五入到指定小数位，ROUND(数值, 2)保留2位小数。注意锁定查找区域时用$符号。</t>
        </is>
      </c>
    </row>
    <row r="10">
      <c r="A10" s="1" t="inlineStr">
        <is>
          <t>第 4 题：第4题：从物流单号中提取区域代码和客户编号</t>
        </is>
      </c>
    </row>
    <row r="11">
      <c r="A11" s="6" t="inlineStr">
        <is>
          <t>讲解：</t>
        </is>
      </c>
      <c r="B11" s="2" t="inlineStr">
        <is>
          <t>MID(text, start_num, num_chars)从指定位置开始提取指定长度字符。RIGHT(text, num_chars)从右侧提取字符。例如MID(A2,3,4)从第3位开始取4个字符得到客户编号。RIGHT(A2,3)取最后3位得到包裹序号。</t>
        </is>
      </c>
    </row>
    <row r="13">
      <c r="A13" s="1" t="inlineStr">
        <is>
          <t>第 5 题：第5题：根据班级和排名返回学生姓名（INDEX+MATCH）</t>
        </is>
      </c>
    </row>
    <row r="14">
      <c r="A14" s="6" t="inlineStr">
        <is>
          <t>讲解：</t>
        </is>
      </c>
      <c r="B14" s="2" t="inlineStr">
        <is>
          <t>INDEX(数组, 行号)返回数组中指定行的值。MATCH(查找值, 查找数组, 匹配类型)返回位置。这里需要同时满足班级和排名两个条件，所以用数组公式：MATCH(1, (条件1)*(条件2), 0) 只有当两个条件都满足时乘积才为1。输入公式后需按Ctrl+Shift+Enter确认（Excel 365中普通回车也可能自动识别，但建议使用数组公式）。INDEX返回C列对应行的姓名。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2026-09-05T00:28:28Z</dcterms:created>
  <dcterms:modified xsi:type="dcterms:W3CDTF">2026-09-05T00:28:28Z</dcterms:modified>
</cp:coreProperties>
</file>
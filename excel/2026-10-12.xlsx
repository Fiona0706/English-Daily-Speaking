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题目" sheetId="1" state="visible" r:id="rId1"/>
    <sheet name="答案" sheetId="2" state="visible" r:id="rId2"/>
    <sheet name="讲解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2F6FED"/>
      <sz val="13"/>
    </font>
    <font>
      <b val="1"/>
      <color rgb="00FFFFFF"/>
      <sz val="12"/>
    </font>
    <font>
      <i val="1"/>
      <color rgb="00888888"/>
    </font>
    <font>
      <b val="1"/>
    </font>
  </fonts>
  <fills count="3">
    <fill>
      <patternFill/>
    </fill>
    <fill>
      <patternFill patternType="gray125"/>
    </fill>
    <fill>
      <patternFill patternType="solid">
        <fgColor rgb="002F6FED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第 1 题：第1题：仓库发货重量汇总</t>
        </is>
      </c>
    </row>
    <row r="2">
      <c r="A2" t="inlineStr">
        <is>
          <t>练习函数：SUMIF</t>
        </is>
      </c>
    </row>
    <row r="3">
      <c r="A3" s="2" t="inlineStr">
        <is>
          <t>要求：你是仓库文员，需要统计「华东仓」所有发货单的重量总和。样例数据来自一张发货台账，包含仓库和重量两列。</t>
        </is>
      </c>
    </row>
    <row r="4">
      <c r="A4" s="2" t="inlineStr">
        <is>
          <t>任务：假设数据在 A1:B6，请在 D2 单元格输入公式，计算出「华东仓」的重量合计。</t>
        </is>
      </c>
    </row>
    <row r="5">
      <c r="A5" s="3" t="inlineStr">
        <is>
          <t>仓库</t>
        </is>
      </c>
      <c r="B5" s="3" t="inlineStr">
        <is>
          <t>重量(kg)</t>
        </is>
      </c>
    </row>
    <row r="6">
      <c r="A6" s="4" t="inlineStr">
        <is>
          <t>华东仓</t>
        </is>
      </c>
      <c r="B6" s="4" t="inlineStr">
        <is>
          <t>120</t>
        </is>
      </c>
    </row>
    <row r="7">
      <c r="A7" s="4" t="inlineStr">
        <is>
          <t>华南仓</t>
        </is>
      </c>
      <c r="B7" s="4" t="inlineStr">
        <is>
          <t>80</t>
        </is>
      </c>
    </row>
    <row r="8">
      <c r="A8" s="4" t="inlineStr">
        <is>
          <t>华东仓</t>
        </is>
      </c>
      <c r="B8" s="4" t="inlineStr">
        <is>
          <t>95</t>
        </is>
      </c>
    </row>
    <row r="9">
      <c r="A9" s="4" t="inlineStr">
        <is>
          <t>华北仓</t>
        </is>
      </c>
      <c r="B9" s="4" t="inlineStr">
        <is>
          <t>60</t>
        </is>
      </c>
    </row>
    <row r="10">
      <c r="A10" s="4" t="inlineStr">
        <is>
          <t>华东仓</t>
        </is>
      </c>
      <c r="B10" s="4" t="inlineStr">
        <is>
          <t>110</t>
        </is>
      </c>
    </row>
    <row r="11">
      <c r="A11" s="5" t="inlineStr">
        <is>
          <t>↓ 你的公式 / 答案（在下方单元格输入）：</t>
        </is>
      </c>
    </row>
    <row r="13">
      <c r="A13" s="1" t="inlineStr">
        <is>
          <t>第 2 题：第2题：订单数量条件计数</t>
        </is>
      </c>
    </row>
    <row r="14">
      <c r="A14" t="inlineStr">
        <is>
          <t>练习函数：COUNTIF</t>
        </is>
      </c>
    </row>
    <row r="15">
      <c r="A15" s="2" t="inlineStr">
        <is>
          <t>要求：电商客服需要统计「已完成」订单的数量，用于日报。样例数据是一张订单状态表。</t>
        </is>
      </c>
    </row>
    <row r="16">
      <c r="A16" s="2" t="inlineStr">
        <is>
          <t>任务：假设数据在 A1:B6，请在 D2 单元格输入公式，统计状态为「已完成」的订单数量。</t>
        </is>
      </c>
    </row>
    <row r="17">
      <c r="A17" s="3" t="inlineStr">
        <is>
          <t>订单号</t>
        </is>
      </c>
      <c r="B17" s="3" t="inlineStr">
        <is>
          <t>状态</t>
        </is>
      </c>
    </row>
    <row r="18">
      <c r="A18" s="4" t="inlineStr">
        <is>
          <t>A001</t>
        </is>
      </c>
      <c r="B18" s="4" t="inlineStr">
        <is>
          <t>已完成</t>
        </is>
      </c>
    </row>
    <row r="19">
      <c r="A19" s="4" t="inlineStr">
        <is>
          <t>A002</t>
        </is>
      </c>
      <c r="B19" s="4" t="inlineStr">
        <is>
          <t>待付款</t>
        </is>
      </c>
    </row>
    <row r="20">
      <c r="A20" s="4" t="inlineStr">
        <is>
          <t>A003</t>
        </is>
      </c>
      <c r="B20" s="4" t="inlineStr">
        <is>
          <t>已完成</t>
        </is>
      </c>
    </row>
    <row r="21">
      <c r="A21" s="4" t="inlineStr">
        <is>
          <t>A004</t>
        </is>
      </c>
      <c r="B21" s="4" t="inlineStr">
        <is>
          <t>已取消</t>
        </is>
      </c>
    </row>
    <row r="22">
      <c r="A22" s="4" t="inlineStr">
        <is>
          <t>A005</t>
        </is>
      </c>
      <c r="B22" s="4" t="inlineStr">
        <is>
          <t>已完成</t>
        </is>
      </c>
    </row>
    <row r="23">
      <c r="A23" s="5" t="inlineStr">
        <is>
          <t>↓ 你的公式 / 答案（在下方单元格输入）：</t>
        </is>
      </c>
    </row>
    <row r="25">
      <c r="A25" s="1" t="inlineStr">
        <is>
          <t>第 3 题：第3题：物流到港天数与异常处理</t>
        </is>
      </c>
    </row>
    <row r="26">
      <c r="A26" s="2" t="inlineStr">
        <is>
          <t>要求：物流专员需要根据到港日期和发货日期计算运输天数。如果日期缺失或格式不对，不要显示错误值，而是显示“待补录”。</t>
        </is>
      </c>
    </row>
    <row r="27">
      <c r="A27" s="2" t="inlineStr">
        <is>
          <t>任务：假设数据在 A1:C4，请在 D2 单元格输入公式并向下填充，计算每单从发货到到港的天数；若无法计算则显示「待补录」。</t>
        </is>
      </c>
    </row>
    <row r="28">
      <c r="A28" s="3" t="inlineStr">
        <is>
          <t>运单号</t>
        </is>
      </c>
      <c r="B28" s="3" t="inlineStr">
        <is>
          <t>发货日期</t>
        </is>
      </c>
      <c r="C28" s="3" t="inlineStr">
        <is>
          <t>到港日期</t>
        </is>
      </c>
    </row>
    <row r="29">
      <c r="A29" s="4" t="inlineStr">
        <is>
          <t>S001</t>
        </is>
      </c>
      <c r="B29" s="4" t="inlineStr">
        <is>
          <t>2024-05-01</t>
        </is>
      </c>
      <c r="C29" s="4" t="inlineStr">
        <is>
          <t>2024-05-06</t>
        </is>
      </c>
    </row>
    <row r="30">
      <c r="A30" s="4" t="inlineStr">
        <is>
          <t>S002</t>
        </is>
      </c>
      <c r="B30" s="4" t="inlineStr">
        <is>
          <t>2024-05-03</t>
        </is>
      </c>
      <c r="C30" s="4" t="inlineStr">
        <is>
          <t>2024-05-10</t>
        </is>
      </c>
    </row>
    <row r="31">
      <c r="A31" s="4" t="inlineStr">
        <is>
          <t>S003</t>
        </is>
      </c>
      <c r="B31" s="4" t="inlineStr">
        <is>
          <t>2024-05-08</t>
        </is>
      </c>
      <c r="C31" s="4" t="inlineStr"/>
    </row>
    <row r="32">
      <c r="A32" s="5" t="inlineStr">
        <is>
          <t>↓ 你的公式 / 答案（在下方单元格输入）：</t>
        </is>
      </c>
    </row>
    <row r="34">
      <c r="A34" s="1" t="inlineStr">
        <is>
          <t>第 4 题：第4题：多条件运费汇总与四舍五入</t>
        </is>
      </c>
    </row>
    <row r="35">
      <c r="A35" s="2" t="inlineStr">
        <is>
          <t>要求：财务需要汇总「华东区」且「已签收」的运费总额，并把结果保留 1 位小数。样例数据是区域运费明细表。</t>
        </is>
      </c>
    </row>
    <row r="36">
      <c r="A36" s="2" t="inlineStr">
        <is>
          <t>任务：假设数据在 A1:C6，请在 E2 单元格输入公式，汇总「华东区」且「已签收」的运费，并将结果四舍五入到 1 位小数。</t>
        </is>
      </c>
    </row>
    <row r="37">
      <c r="A37" s="3" t="inlineStr">
        <is>
          <t>区域</t>
        </is>
      </c>
      <c r="B37" s="3" t="inlineStr">
        <is>
          <t>状态</t>
        </is>
      </c>
      <c r="C37" s="3" t="inlineStr">
        <is>
          <t>运费</t>
        </is>
      </c>
    </row>
    <row r="38">
      <c r="A38" s="4" t="inlineStr">
        <is>
          <t>华东区</t>
        </is>
      </c>
      <c r="B38" s="4" t="inlineStr">
        <is>
          <t>已签收</t>
        </is>
      </c>
      <c r="C38" s="4" t="inlineStr">
        <is>
          <t>128.456</t>
        </is>
      </c>
    </row>
    <row r="39">
      <c r="A39" s="4" t="inlineStr">
        <is>
          <t>华南区</t>
        </is>
      </c>
      <c r="B39" s="4" t="inlineStr">
        <is>
          <t>已签收</t>
        </is>
      </c>
      <c r="C39" s="4" t="inlineStr">
        <is>
          <t>98.765</t>
        </is>
      </c>
    </row>
    <row r="40">
      <c r="A40" s="4" t="inlineStr">
        <is>
          <t>华东区</t>
        </is>
      </c>
      <c r="B40" s="4" t="inlineStr">
        <is>
          <t>运输中</t>
        </is>
      </c>
      <c r="C40" s="4" t="inlineStr">
        <is>
          <t>50.123</t>
        </is>
      </c>
    </row>
    <row r="41">
      <c r="A41" s="4" t="inlineStr">
        <is>
          <t>华东区</t>
        </is>
      </c>
      <c r="B41" s="4" t="inlineStr">
        <is>
          <t>已签收</t>
        </is>
      </c>
      <c r="C41" s="4" t="inlineStr">
        <is>
          <t>76.889</t>
        </is>
      </c>
    </row>
    <row r="42">
      <c r="A42" s="4" t="inlineStr">
        <is>
          <t>华北区</t>
        </is>
      </c>
      <c r="B42" s="4" t="inlineStr">
        <is>
          <t>已签收</t>
        </is>
      </c>
      <c r="C42" s="4" t="inlineStr">
        <is>
          <t>66.666</t>
        </is>
      </c>
    </row>
    <row r="43">
      <c r="A43" s="5" t="inlineStr">
        <is>
          <t>↓ 你的公式 / 答案（在下方单元格输入）：</t>
        </is>
      </c>
    </row>
    <row r="45">
      <c r="A45" s="1" t="inlineStr">
        <is>
          <t>第 5 题：第5题：多条件订单数量统计</t>
        </is>
      </c>
    </row>
    <row r="46">
      <c r="A46" t="inlineStr">
        <is>
          <t>练习函数：COUNTIFS</t>
        </is>
      </c>
    </row>
    <row r="47">
      <c r="A47" s="2" t="inlineStr">
        <is>
          <t>要求：运营需要统计「华东区」且状态为「已付款」的订单数，用于区域销售分析。</t>
        </is>
      </c>
    </row>
    <row r="48">
      <c r="A48" s="2" t="inlineStr">
        <is>
          <t>任务：假设数据在 A1:C6，请在 E2 单元格输入公式，统计区域为「华东区」且状态为「已付款」的订单数量。</t>
        </is>
      </c>
    </row>
    <row r="49">
      <c r="A49" s="3" t="inlineStr">
        <is>
          <t>订单号</t>
        </is>
      </c>
      <c r="B49" s="3" t="inlineStr">
        <is>
          <t>区域</t>
        </is>
      </c>
      <c r="C49" s="3" t="inlineStr">
        <is>
          <t>状态</t>
        </is>
      </c>
    </row>
    <row r="50">
      <c r="A50" s="4" t="inlineStr">
        <is>
          <t>A001</t>
        </is>
      </c>
      <c r="B50" s="4" t="inlineStr">
        <is>
          <t>华东区</t>
        </is>
      </c>
      <c r="C50" s="4" t="inlineStr">
        <is>
          <t>已付款</t>
        </is>
      </c>
    </row>
    <row r="51">
      <c r="A51" s="4" t="inlineStr">
        <is>
          <t>A002</t>
        </is>
      </c>
      <c r="B51" s="4" t="inlineStr">
        <is>
          <t>华南区</t>
        </is>
      </c>
      <c r="C51" s="4" t="inlineStr">
        <is>
          <t>已付款</t>
        </is>
      </c>
    </row>
    <row r="52">
      <c r="A52" s="4" t="inlineStr">
        <is>
          <t>A003</t>
        </is>
      </c>
      <c r="B52" s="4" t="inlineStr">
        <is>
          <t>华东区</t>
        </is>
      </c>
      <c r="C52" s="4" t="inlineStr">
        <is>
          <t>未付款</t>
        </is>
      </c>
    </row>
    <row r="53">
      <c r="A53" s="4" t="inlineStr">
        <is>
          <t>A004</t>
        </is>
      </c>
      <c r="B53" s="4" t="inlineStr">
        <is>
          <t>华东区</t>
        </is>
      </c>
      <c r="C53" s="4" t="inlineStr">
        <is>
          <t>已付款</t>
        </is>
      </c>
    </row>
    <row r="54">
      <c r="A54" s="4" t="inlineStr">
        <is>
          <t>A005</t>
        </is>
      </c>
      <c r="B54" s="4" t="inlineStr">
        <is>
          <t>华北区</t>
        </is>
      </c>
      <c r="C54" s="4" t="inlineStr">
        <is>
          <t>已付款</t>
        </is>
      </c>
    </row>
    <row r="55">
      <c r="A55" s="5" t="inlineStr">
        <is>
          <t>↓ 你的公式 / 答案（在下方单元格输入）：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</cols>
  <sheetData>
    <row r="1">
      <c r="A1" s="1" t="inlineStr">
        <is>
          <t>第 1 题：第1题：仓库发货重量汇总</t>
        </is>
      </c>
    </row>
    <row r="2">
      <c r="A2" s="6" t="inlineStr">
        <is>
          <t>答案：</t>
        </is>
      </c>
      <c r="B2" s="2">
        <f>SUMIF(A2:A6,"华东仓",B2:B6)</f>
        <v/>
      </c>
    </row>
    <row r="3">
      <c r="A3" t="inlineStr">
        <is>
          <t>（可直接复制公式到题目文件对应单元格验证）</t>
        </is>
      </c>
    </row>
    <row r="5">
      <c r="A5" s="1" t="inlineStr">
        <is>
          <t>第 2 题：第2题：订单数量条件计数</t>
        </is>
      </c>
    </row>
    <row r="6">
      <c r="A6" s="6" t="inlineStr">
        <is>
          <t>答案：</t>
        </is>
      </c>
      <c r="B6" s="2">
        <f>COUNTIF(B2:B6,"已完成")</f>
        <v/>
      </c>
    </row>
    <row r="7">
      <c r="A7" t="inlineStr">
        <is>
          <t>（可直接复制公式到题目文件对应单元格验证）</t>
        </is>
      </c>
    </row>
    <row r="9">
      <c r="A9" s="1" t="inlineStr">
        <is>
          <t>第 3 题：第3题：物流到港天数与异常处理</t>
        </is>
      </c>
    </row>
    <row r="10">
      <c r="A10" s="6" t="inlineStr">
        <is>
          <t>答案：</t>
        </is>
      </c>
      <c r="B10" s="2">
        <f>IFERROR(DATEDIF(B2,C2,"d"),"待补录")</f>
        <v/>
      </c>
    </row>
    <row r="11">
      <c r="A11" t="inlineStr">
        <is>
          <t>（可直接复制公式到题目文件对应单元格验证）</t>
        </is>
      </c>
    </row>
    <row r="13">
      <c r="A13" s="1" t="inlineStr">
        <is>
          <t>第 4 题：第4题：多条件运费汇总与四舍五入</t>
        </is>
      </c>
    </row>
    <row r="14">
      <c r="A14" s="6" t="inlineStr">
        <is>
          <t>答案：</t>
        </is>
      </c>
      <c r="B14" s="2">
        <f>ROUND(SUMIFS(C2:C6,A2:A6,"华东区",B2:B6,"已签收"),1)</f>
        <v/>
      </c>
    </row>
    <row r="15">
      <c r="A15" t="inlineStr">
        <is>
          <t>（可直接复制公式到题目文件对应单元格验证）</t>
        </is>
      </c>
    </row>
    <row r="17">
      <c r="A17" s="1" t="inlineStr">
        <is>
          <t>第 5 题：第5题：多条件订单数量统计</t>
        </is>
      </c>
    </row>
    <row r="18">
      <c r="A18" s="6" t="inlineStr">
        <is>
          <t>答案：</t>
        </is>
      </c>
      <c r="B18" s="2">
        <f>COUNTIFS(B2:B6,"华东区",C2:C6,"已付款")</f>
        <v/>
      </c>
    </row>
    <row r="19">
      <c r="A19" t="inlineStr">
        <is>
          <t>（可直接复制公式到题目文件对应单元格验证）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6" customWidth="1" min="1" max="1"/>
    <col width="90" customWidth="1" min="2" max="2"/>
  </cols>
  <sheetData>
    <row r="1">
      <c r="A1" s="1" t="inlineStr">
        <is>
          <t>第 1 题：第1题：仓库发货重量汇总</t>
        </is>
      </c>
    </row>
    <row r="2">
      <c r="A2" s="6" t="inlineStr">
        <is>
          <t>讲解：</t>
        </is>
      </c>
      <c r="B2" s="2" t="inlineStr">
        <is>
          <t>SUMIF 用于按单个条件求和，语法是 SUMIF(条件区域, 条件, 求和区域)。这里条件区域是 A2:A6，条件是“华东仓”，求和区域是 B2:B6。结果应为 120+95+110=325。</t>
        </is>
      </c>
    </row>
    <row r="4">
      <c r="A4" s="1" t="inlineStr">
        <is>
          <t>第 2 题：第2题：订单数量条件计数</t>
        </is>
      </c>
    </row>
    <row r="5">
      <c r="A5" s="6" t="inlineStr">
        <is>
          <t>讲解：</t>
        </is>
      </c>
      <c r="B5" s="2" t="inlineStr">
        <is>
          <t>COUNTIF 用于按单个条件计数，语法是 COUNTIF(条件区域, 条件)。这里在 B2:B6 中统计“已完成”出现次数，结果为 3。</t>
        </is>
      </c>
    </row>
    <row r="7">
      <c r="A7" s="1" t="inlineStr">
        <is>
          <t>第 3 题：第3题：物流到港天数与异常处理</t>
        </is>
      </c>
    </row>
    <row r="8">
      <c r="A8" s="6" t="inlineStr">
        <is>
          <t>讲解：</t>
        </is>
      </c>
      <c r="B8" s="2" t="inlineStr">
        <is>
          <t>DATEDIF 可计算两个日期之间的天数，语法是 DATEDIF(开始日期, 结束日期, "d")。IFERROR 用来把错误结果显示为指定内容，语法是 IFERROR(值, 错误时显示内容)。第三行到港日期为空会报错，因此显示“待补录”。</t>
        </is>
      </c>
    </row>
    <row r="10">
      <c r="A10" s="1" t="inlineStr">
        <is>
          <t>第 4 题：第4题：多条件运费汇总与四舍五入</t>
        </is>
      </c>
    </row>
    <row r="11">
      <c r="A11" s="6" t="inlineStr">
        <is>
          <t>讲解：</t>
        </is>
      </c>
      <c r="B11" s="2" t="inlineStr">
        <is>
          <t>SUMIFS 支持多个条件求和，语法是 SUMIFS(求和区域, 条件区域1, 条件1, 条件区域2, 条件2...)。ROUND 用于四舍五入，语法是 ROUND(数值, 小数位数)。先求出 128.456+76.889=205.345，再保留 1 位小数为 205.3。</t>
        </is>
      </c>
    </row>
    <row r="13">
      <c r="A13" s="1" t="inlineStr">
        <is>
          <t>第 5 题：第5题：多条件订单数量统计</t>
        </is>
      </c>
    </row>
    <row r="14">
      <c r="A14" s="6" t="inlineStr">
        <is>
          <t>讲解：</t>
        </is>
      </c>
      <c r="B14" s="2" t="inlineStr">
        <is>
          <t>COUNTIFS 用于多条件计数，语法是 COUNTIFS(条件区域1, 条件1, 条件区域2, 条件2...)。这里统计 B 列为“华东区”且 C 列为“已付款”的行，结果为 2。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2026-10-12T01:54:09Z</dcterms:created>
  <dcterms:modified xsi:type="dcterms:W3CDTF">2026-10-12T01:54:09Z</dcterms:modified>
</cp:coreProperties>
</file>
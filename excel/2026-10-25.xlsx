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题目" sheetId="1" state="visible" r:id="rId1"/>
    <sheet name="答案" sheetId="2" state="visible" r:id="rId2"/>
    <sheet name="讲解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F6FED"/>
      <sz val="13"/>
    </font>
    <font>
      <b val="1"/>
      <color rgb="00FFFFFF"/>
      <sz val="12"/>
    </font>
    <font>
      <i val="1"/>
      <color rgb="00888888"/>
    </font>
    <font>
      <b val="1"/>
    </font>
  </fonts>
  <fills count="3">
    <fill>
      <patternFill/>
    </fill>
    <fill>
      <patternFill patternType="gray125"/>
    </fill>
    <fill>
      <patternFill patternType="solid">
        <fgColor rgb="002F6FE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第 1 题：第1题：按部门汇总销售额</t>
        </is>
      </c>
    </row>
    <row r="2">
      <c r="A2" t="inlineStr">
        <is>
          <t>练习函数：SUMIF</t>
        </is>
      </c>
    </row>
    <row r="3">
      <c r="A3" s="2" t="inlineStr">
        <is>
          <t>要求：你是一家公司的财务助理，需要从销售台账中统计“华东区”的总销售额，用于月度汇报。</t>
        </is>
      </c>
    </row>
    <row r="4">
      <c r="A4" s="2" t="inlineStr">
        <is>
          <t>任务：在 F2 单元格输入公式，计算区域为“华东区”的销售额合计。</t>
        </is>
      </c>
    </row>
    <row r="5">
      <c r="A5" s="3" t="inlineStr">
        <is>
          <t>日期</t>
        </is>
      </c>
      <c r="B5" s="3" t="inlineStr">
        <is>
          <t>区域</t>
        </is>
      </c>
      <c r="C5" s="3" t="inlineStr">
        <is>
          <t>销售额</t>
        </is>
      </c>
    </row>
    <row r="6">
      <c r="A6" s="4" t="inlineStr">
        <is>
          <t>2024-01-05</t>
        </is>
      </c>
      <c r="B6" s="4" t="inlineStr">
        <is>
          <t>华东区</t>
        </is>
      </c>
      <c r="C6" s="4" t="n">
        <v>1200</v>
      </c>
    </row>
    <row r="7">
      <c r="A7" s="4" t="inlineStr">
        <is>
          <t>2024-01-08</t>
        </is>
      </c>
      <c r="B7" s="4" t="inlineStr">
        <is>
          <t>华南区</t>
        </is>
      </c>
      <c r="C7" s="4" t="n">
        <v>850</v>
      </c>
    </row>
    <row r="8">
      <c r="A8" s="4" t="inlineStr">
        <is>
          <t>2024-01-12</t>
        </is>
      </c>
      <c r="B8" s="4" t="inlineStr">
        <is>
          <t>华东区</t>
        </is>
      </c>
      <c r="C8" s="4" t="n">
        <v>2300</v>
      </c>
    </row>
    <row r="9">
      <c r="A9" s="4" t="inlineStr">
        <is>
          <t>2024-01-15</t>
        </is>
      </c>
      <c r="B9" s="4" t="inlineStr">
        <is>
          <t>华北区</t>
        </is>
      </c>
      <c r="C9" s="4" t="n">
        <v>1500</v>
      </c>
    </row>
    <row r="10">
      <c r="A10" s="4" t="inlineStr">
        <is>
          <t>2024-01-20</t>
        </is>
      </c>
      <c r="B10" s="4" t="inlineStr">
        <is>
          <t>华东区</t>
        </is>
      </c>
      <c r="C10" s="4" t="n">
        <v>980</v>
      </c>
    </row>
    <row r="11">
      <c r="A11" s="5" t="inlineStr">
        <is>
          <t>↓ 你的公式 / 答案（在下方单元格输入）：</t>
        </is>
      </c>
    </row>
    <row r="13">
      <c r="A13" s="1" t="inlineStr">
        <is>
          <t>第 2 题：第2题：统计到港天数并四舍五入</t>
        </is>
      </c>
    </row>
    <row r="14">
      <c r="A14" s="2" t="inlineStr">
        <is>
          <t>要求：物流专员需要计算每票货物从“发运日期”到“到港日期”的到港天数，并将结果保留到整数（四舍五入），用于计算仓储费用。</t>
        </is>
      </c>
    </row>
    <row r="15">
      <c r="A15" s="2" t="inlineStr">
        <is>
          <t>任务：在 E2 单元格输入公式，计算 SF001 的发运到到港天数，并用 ROUND 保留 0 位小数，结果为 17。</t>
        </is>
      </c>
    </row>
    <row r="16">
      <c r="A16" s="3" t="inlineStr">
        <is>
          <t>运单号</t>
        </is>
      </c>
      <c r="B16" s="3" t="inlineStr">
        <is>
          <t>发运日期</t>
        </is>
      </c>
      <c r="C16" s="3" t="inlineStr">
        <is>
          <t>到港日期</t>
        </is>
      </c>
    </row>
    <row r="17">
      <c r="A17" s="4" t="inlineStr">
        <is>
          <t>SF001</t>
        </is>
      </c>
      <c r="B17" s="4" t="inlineStr">
        <is>
          <t>2024-02-01</t>
        </is>
      </c>
      <c r="C17" s="4" t="inlineStr">
        <is>
          <t>2024-02-18</t>
        </is>
      </c>
    </row>
    <row r="18">
      <c r="A18" s="4" t="inlineStr">
        <is>
          <t>SF002</t>
        </is>
      </c>
      <c r="B18" s="4" t="inlineStr">
        <is>
          <t>2024-02-05</t>
        </is>
      </c>
      <c r="C18" s="4" t="inlineStr">
        <is>
          <t>2024-02-22</t>
        </is>
      </c>
    </row>
    <row r="19">
      <c r="A19" s="4" t="inlineStr">
        <is>
          <t>SF003</t>
        </is>
      </c>
      <c r="B19" s="4" t="inlineStr">
        <is>
          <t>2024-02-10</t>
        </is>
      </c>
      <c r="C19" s="4" t="inlineStr">
        <is>
          <t>2024-03-01</t>
        </is>
      </c>
    </row>
    <row r="20">
      <c r="A20" s="5" t="inlineStr">
        <is>
          <t>↓ 你的公式 / 答案（在下方单元格输入）：</t>
        </is>
      </c>
    </row>
    <row r="22">
      <c r="A22" s="1" t="inlineStr">
        <is>
          <t>第 3 题：第3题：多条件统计订单数量</t>
        </is>
      </c>
    </row>
    <row r="23">
      <c r="A23" t="inlineStr">
        <is>
          <t>练习函数：COUNTIFS</t>
        </is>
      </c>
    </row>
    <row r="24">
      <c r="A24" s="2" t="inlineStr">
        <is>
          <t>要求：电商运营需要统计“已完成”且金额大于等于 500 元的订单数量，用于评估高价值订单的完成情况。</t>
        </is>
      </c>
    </row>
    <row r="25">
      <c r="A25" s="2" t="inlineStr">
        <is>
          <t>任务：在 F2 单元格输入公式，统计状态为“已完成”且金额大于等于 500 的订单数量，结果为 2。</t>
        </is>
      </c>
    </row>
    <row r="26">
      <c r="A26" s="3" t="inlineStr">
        <is>
          <t>订单号</t>
        </is>
      </c>
      <c r="B26" s="3" t="inlineStr">
        <is>
          <t>状态</t>
        </is>
      </c>
      <c r="C26" s="3" t="inlineStr">
        <is>
          <t>金额</t>
        </is>
      </c>
    </row>
    <row r="27">
      <c r="A27" s="4" t="inlineStr">
        <is>
          <t>A001</t>
        </is>
      </c>
      <c r="B27" s="4" t="inlineStr">
        <is>
          <t>已完成</t>
        </is>
      </c>
      <c r="C27" s="4" t="n">
        <v>680</v>
      </c>
    </row>
    <row r="28">
      <c r="A28" s="4" t="inlineStr">
        <is>
          <t>A002</t>
        </is>
      </c>
      <c r="B28" s="4" t="inlineStr">
        <is>
          <t>已完成</t>
        </is>
      </c>
      <c r="C28" s="4" t="n">
        <v>320</v>
      </c>
    </row>
    <row r="29">
      <c r="A29" s="4" t="inlineStr">
        <is>
          <t>A003</t>
        </is>
      </c>
      <c r="B29" s="4" t="inlineStr">
        <is>
          <t>待发货</t>
        </is>
      </c>
      <c r="C29" s="4" t="n">
        <v>900</v>
      </c>
    </row>
    <row r="30">
      <c r="A30" s="4" t="inlineStr">
        <is>
          <t>A004</t>
        </is>
      </c>
      <c r="B30" s="4" t="inlineStr">
        <is>
          <t>已完成</t>
        </is>
      </c>
      <c r="C30" s="4" t="n">
        <v>520</v>
      </c>
    </row>
    <row r="31">
      <c r="A31" s="4" t="inlineStr">
        <is>
          <t>A005</t>
        </is>
      </c>
      <c r="B31" s="4" t="inlineStr">
        <is>
          <t>已取消</t>
        </is>
      </c>
      <c r="C31" s="4" t="n">
        <v>780</v>
      </c>
    </row>
    <row r="32">
      <c r="A32" s="5" t="inlineStr">
        <is>
          <t>↓ 你的公式 / 答案（在下方单元格输入）：</t>
        </is>
      </c>
    </row>
    <row r="34">
      <c r="A34" s="1" t="inlineStr">
        <is>
          <t>第 4 题：第4题：按产品查找库存并处理错误</t>
        </is>
      </c>
    </row>
    <row r="35">
      <c r="A35" s="2" t="inlineStr">
        <is>
          <t>要求：仓库管理员需要根据输入的“产品名称”查找到对应的库存数量。如果产品不存在，则显示“未找到”，避免出现错误值影响报表。</t>
        </is>
      </c>
    </row>
    <row r="36">
      <c r="A36" s="2" t="inlineStr">
        <is>
          <t>任务：在 E2 单元格输入公式，根据 E1 中输入的产品名称（例如“扳手”）查找库存数量；如果找不到则显示“未找到”。</t>
        </is>
      </c>
    </row>
    <row r="37">
      <c r="A37" s="3" t="inlineStr">
        <is>
          <t>产品名称</t>
        </is>
      </c>
      <c r="B37" s="3" t="inlineStr">
        <is>
          <t>库存数量</t>
        </is>
      </c>
    </row>
    <row r="38">
      <c r="A38" s="4" t="inlineStr">
        <is>
          <t>螺丝刀</t>
        </is>
      </c>
      <c r="B38" s="4" t="n">
        <v>150</v>
      </c>
    </row>
    <row r="39">
      <c r="A39" s="4" t="inlineStr">
        <is>
          <t>扳手</t>
        </is>
      </c>
      <c r="B39" s="4" t="n">
        <v>80</v>
      </c>
    </row>
    <row r="40">
      <c r="A40" s="4" t="inlineStr">
        <is>
          <t>电工胶带</t>
        </is>
      </c>
      <c r="B40" s="4" t="n">
        <v>320</v>
      </c>
    </row>
    <row r="41">
      <c r="A41" s="4" t="inlineStr">
        <is>
          <t>卷尺</t>
        </is>
      </c>
      <c r="B41" s="4" t="n">
        <v>60</v>
      </c>
    </row>
    <row r="42">
      <c r="A42" s="5" t="inlineStr">
        <is>
          <t>↓ 你的公式 / 答案（在下方单元格输入）：</t>
        </is>
      </c>
    </row>
    <row r="44">
      <c r="A44" s="1" t="inlineStr">
        <is>
          <t>第 5 题：第5题：INDEX+MATCH 双向查表</t>
        </is>
      </c>
    </row>
    <row r="45">
      <c r="A45" s="2" t="inlineStr">
        <is>
          <t>要求：销售经理需要根据“月份”和“产品”两个条件，从二维销售表中查找对应的销售额。要求使用 INDEX 和 MATCH 组合实现，比 VLOOKUP 更灵活（可向左查找）。</t>
        </is>
      </c>
    </row>
    <row r="46">
      <c r="A46" s="2" t="inlineStr">
        <is>
          <t>任务：在 G2 单元格输入公式，根据 G1 中的月份（如“2月”）和 H1 中的产品（如“产品B”）查找销售额，结果为 1600。</t>
        </is>
      </c>
    </row>
    <row r="47">
      <c r="A47" s="3" t="inlineStr">
        <is>
          <t>月份</t>
        </is>
      </c>
      <c r="B47" s="3" t="inlineStr">
        <is>
          <t>产品A</t>
        </is>
      </c>
      <c r="C47" s="3" t="inlineStr">
        <is>
          <t>产品B</t>
        </is>
      </c>
      <c r="D47" s="3" t="inlineStr">
        <is>
          <t>产品C</t>
        </is>
      </c>
    </row>
    <row r="48">
      <c r="A48" s="4" t="inlineStr">
        <is>
          <t>1月</t>
        </is>
      </c>
      <c r="B48" s="4" t="n">
        <v>1200</v>
      </c>
      <c r="C48" s="4" t="n">
        <v>1500</v>
      </c>
      <c r="D48" s="4" t="n">
        <v>900</v>
      </c>
    </row>
    <row r="49">
      <c r="A49" s="4" t="inlineStr">
        <is>
          <t>2月</t>
        </is>
      </c>
      <c r="B49" s="4" t="n">
        <v>1300</v>
      </c>
      <c r="C49" s="4" t="n">
        <v>1600</v>
      </c>
      <c r="D49" s="4" t="n">
        <v>1000</v>
      </c>
    </row>
    <row r="50">
      <c r="A50" s="4" t="inlineStr">
        <is>
          <t>3月</t>
        </is>
      </c>
      <c r="B50" s="4" t="n">
        <v>1400</v>
      </c>
      <c r="C50" s="4" t="n">
        <v>1700</v>
      </c>
      <c r="D50" s="4" t="n">
        <v>1100</v>
      </c>
    </row>
    <row r="51">
      <c r="A51" s="5" t="inlineStr">
        <is>
          <t>↓ 你的公式 / 答案（在下方单元格输入）：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1" t="inlineStr">
        <is>
          <t>第 1 题：第1题：按部门汇总销售额</t>
        </is>
      </c>
    </row>
    <row r="2">
      <c r="A2" s="6" t="inlineStr">
        <is>
          <t>答案：</t>
        </is>
      </c>
      <c r="B2" s="2">
        <f>SUMIF(B2:B6,"华东区",C2:C6)</f>
        <v/>
      </c>
    </row>
    <row r="3">
      <c r="A3" t="inlineStr">
        <is>
          <t>（可直接复制公式到题目文件对应单元格验证）</t>
        </is>
      </c>
    </row>
    <row r="5">
      <c r="A5" s="1" t="inlineStr">
        <is>
          <t>第 2 题：第2题：统计到港天数并四舍五入</t>
        </is>
      </c>
    </row>
    <row r="6">
      <c r="A6" s="6" t="inlineStr">
        <is>
          <t>答案：</t>
        </is>
      </c>
      <c r="B6" s="2">
        <f>ROUND(DATEDIF(B2,C2,"d"),0)</f>
        <v/>
      </c>
    </row>
    <row r="7">
      <c r="A7" t="inlineStr">
        <is>
          <t>（可直接复制公式到题目文件对应单元格验证）</t>
        </is>
      </c>
    </row>
    <row r="9">
      <c r="A9" s="1" t="inlineStr">
        <is>
          <t>第 3 题：第3题：多条件统计订单数量</t>
        </is>
      </c>
    </row>
    <row r="10">
      <c r="A10" s="6" t="inlineStr">
        <is>
          <t>答案：</t>
        </is>
      </c>
      <c r="B10" s="2">
        <f>COUNTIFS(B2:B6,"已完成",C2:C6,"&gt;=500")</f>
        <v/>
      </c>
    </row>
    <row r="11">
      <c r="A11" t="inlineStr">
        <is>
          <t>（可直接复制公式到题目文件对应单元格验证）</t>
        </is>
      </c>
    </row>
    <row r="13">
      <c r="A13" s="1" t="inlineStr">
        <is>
          <t>第 4 题：第4题：按产品查找库存并处理错误</t>
        </is>
      </c>
    </row>
    <row r="14">
      <c r="A14" s="6" t="inlineStr">
        <is>
          <t>答案：</t>
        </is>
      </c>
      <c r="B14" s="2">
        <f>IFERROR(VLOOKUP(E1,A2:B5,2,FALSE),"未找到")</f>
        <v/>
      </c>
    </row>
    <row r="15">
      <c r="A15" t="inlineStr">
        <is>
          <t>（可直接复制公式到题目文件对应单元格验证）</t>
        </is>
      </c>
    </row>
    <row r="17">
      <c r="A17" s="1" t="inlineStr">
        <is>
          <t>第 5 题：第5题：INDEX+MATCH 双向查表</t>
        </is>
      </c>
    </row>
    <row r="18">
      <c r="A18" s="6" t="inlineStr">
        <is>
          <t>答案：</t>
        </is>
      </c>
      <c r="B18" s="2">
        <f>INDEX(B2:D4,MATCH(G1,A2:A4,0),MATCH(H1,B1:D1,0))</f>
        <v/>
      </c>
    </row>
    <row r="19">
      <c r="A19" t="inlineStr">
        <is>
          <t>（可直接复制公式到题目文件对应单元格验证）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1" t="inlineStr">
        <is>
          <t>第 1 题：第1题：按部门汇总销售额</t>
        </is>
      </c>
    </row>
    <row r="2">
      <c r="A2" s="6" t="inlineStr">
        <is>
          <t>讲解：</t>
        </is>
      </c>
      <c r="B2" s="2" t="inlineStr">
        <is>
          <t>SUMIF 语法为 SUMIF(条件区域, 条件, 求和区域)。这里条件区域是 B2:B6（区域列），条件是文本“华东区”，求和区域是 C2:C6（销售额列），公式会把所有华东区对应的销售额相加得到 4480。</t>
        </is>
      </c>
    </row>
    <row r="4">
      <c r="A4" s="1" t="inlineStr">
        <is>
          <t>第 2 题：第2题：统计到港天数并四舍五入</t>
        </is>
      </c>
    </row>
    <row r="5">
      <c r="A5" s="6" t="inlineStr">
        <is>
          <t>讲解：</t>
        </is>
      </c>
      <c r="B5" s="2" t="inlineStr">
        <is>
          <t>DATEDIF(开始日期, 结束日期, "d") 返回两个日期之间的天数；ROUND(数值, 0) 将数值四舍五入到整数。这里 DATEDIF 得到 17 天，ROUND 后仍为 17。实际业务中可下拉填充计算其他运单。</t>
        </is>
      </c>
    </row>
    <row r="7">
      <c r="A7" s="1" t="inlineStr">
        <is>
          <t>第 3 题：第3题：多条件统计订单数量</t>
        </is>
      </c>
    </row>
    <row r="8">
      <c r="A8" s="6" t="inlineStr">
        <is>
          <t>讲解：</t>
        </is>
      </c>
      <c r="B8" s="2" t="inlineStr">
        <is>
          <t>COUNTIFS(条件区域1, 条件1, 条件区域2, 条件2, ...) 用于多条件计数。这里第一个条件是状态列等于“已完成”，第二个条件是金额列大于等于 500，两个条件同时满足才计数，结果有 A001 和 A004 两单。</t>
        </is>
      </c>
    </row>
    <row r="10">
      <c r="A10" s="1" t="inlineStr">
        <is>
          <t>第 4 题：第4题：按产品查找库存并处理错误</t>
        </is>
      </c>
    </row>
    <row r="11">
      <c r="A11" s="6" t="inlineStr">
        <is>
          <t>讲解：</t>
        </is>
      </c>
      <c r="B11" s="2" t="inlineStr">
        <is>
          <t>VLOOKUP(查找值, 查找区域, 返回列号, FALSE) 在 A2:B5 第一列中精确查找 E1 的值，并返回第 2 列（库存数量）。IFERROR(公式, 错误时显示值) 用于捕获 #N/A 等错误，产品不存在时返回“未找到”。注意查找值 E1 需单独输入。</t>
        </is>
      </c>
    </row>
    <row r="13">
      <c r="A13" s="1" t="inlineStr">
        <is>
          <t>第 5 题：第5题：INDEX+MATCH 双向查表</t>
        </is>
      </c>
    </row>
    <row r="14">
      <c r="A14" s="6" t="inlineStr">
        <is>
          <t>讲解：</t>
        </is>
      </c>
      <c r="B14" s="2" t="inlineStr">
        <is>
          <t>INDEX(数据区域, 行号, 列号) 返回区域中指定行列交叉处的值；MATCH(查找值, 查找区域, 0) 返回精确匹配的位置。第一个 MATCH 在 A2:A4 中找月份所在行，第二个 MATCH 在 B1:D1 中找产品所在列，两者组合即可定位销售额。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2026-10-25T00:39:43Z</dcterms:created>
  <dcterms:modified xsi:type="dcterms:W3CDTF">2026-10-25T00:39:43Z</dcterms:modified>
</cp:coreProperties>
</file>
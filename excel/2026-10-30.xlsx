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题目" sheetId="1" state="visible" r:id="rId1"/>
    <sheet name="答案" sheetId="2" state="visible" r:id="rId2"/>
    <sheet name="讲解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2F6FED"/>
      <sz val="13"/>
    </font>
    <font>
      <b val="1"/>
      <color rgb="00FFFFFF"/>
      <sz val="12"/>
    </font>
    <font>
      <i val="1"/>
      <color rgb="00888888"/>
    </font>
    <font>
      <b val="1"/>
    </font>
  </fonts>
  <fills count="3">
    <fill>
      <patternFill/>
    </fill>
    <fill>
      <patternFill patternType="gray125"/>
    </fill>
    <fill>
      <patternFill patternType="solid">
        <fgColor rgb="002F6FED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第 1 题：第1题：统计某客户的订单总金额</t>
        </is>
      </c>
    </row>
    <row r="2">
      <c r="A2" t="inlineStr">
        <is>
          <t>练习函数：SUMIF</t>
        </is>
      </c>
    </row>
    <row r="3">
      <c r="A3" s="2" t="inlineStr">
        <is>
          <t>要求：你是一家小店的店主，手头有一张订单台账，记录了每个客户各自的订单金额。现在老板想知道「王芳」这个客户一共贡献了多少金额。</t>
        </is>
      </c>
    </row>
    <row r="4">
      <c r="A4" s="2" t="inlineStr">
        <is>
          <t>任务：请在 D2 单元格输入公式，计算客户为「王芳」的订单金额合计。</t>
        </is>
      </c>
    </row>
    <row r="5">
      <c r="A5" s="3" t="inlineStr">
        <is>
          <t>客户</t>
        </is>
      </c>
      <c r="B5" s="3" t="inlineStr">
        <is>
          <t>订单金额</t>
        </is>
      </c>
    </row>
    <row r="6">
      <c r="A6" s="4" t="inlineStr">
        <is>
          <t>王芳</t>
        </is>
      </c>
      <c r="B6" s="4" t="n">
        <v>1200</v>
      </c>
    </row>
    <row r="7">
      <c r="A7" s="4" t="inlineStr">
        <is>
          <t>李明</t>
        </is>
      </c>
      <c r="B7" s="4" t="n">
        <v>800</v>
      </c>
    </row>
    <row r="8">
      <c r="A8" s="4" t="inlineStr">
        <is>
          <t>王芳</t>
        </is>
      </c>
      <c r="B8" s="4" t="n">
        <v>350</v>
      </c>
    </row>
    <row r="9">
      <c r="A9" s="4" t="inlineStr">
        <is>
          <t>张伟</t>
        </is>
      </c>
      <c r="B9" s="4" t="n">
        <v>500</v>
      </c>
    </row>
    <row r="10">
      <c r="A10" s="4" t="inlineStr">
        <is>
          <t>王芳</t>
        </is>
      </c>
      <c r="B10" s="4" t="n">
        <v>650</v>
      </c>
    </row>
    <row r="11">
      <c r="A11" s="5" t="inlineStr">
        <is>
          <t>↓ 你的公式 / 答案（在下方单元格输入）：</t>
        </is>
      </c>
    </row>
    <row r="13">
      <c r="A13" s="1" t="inlineStr">
        <is>
          <t>第 2 题：第2题：统计快递单数与最大重量</t>
        </is>
      </c>
    </row>
    <row r="14">
      <c r="A14" s="2" t="inlineStr">
        <is>
          <t>要求：物流仓库有一张到货明细表，记录了每票货物的目的城市和重量（kg）。需要统计发往「上海」的票数，并找出所有货物中最重的一件是多少 kg。</t>
        </is>
      </c>
    </row>
    <row r="15">
      <c r="A15" s="2" t="inlineStr">
        <is>
          <t>任务：请在 E2 输入公式统计目的城市为「上海」的票数；在 E3 输入公式求所有重量的最大值。</t>
        </is>
      </c>
    </row>
    <row r="16">
      <c r="A16" s="3" t="inlineStr">
        <is>
          <t>单号</t>
        </is>
      </c>
      <c r="B16" s="3" t="inlineStr">
        <is>
          <t>目的城市</t>
        </is>
      </c>
      <c r="C16" s="3" t="inlineStr">
        <is>
          <t>重量kg</t>
        </is>
      </c>
    </row>
    <row r="17">
      <c r="A17" s="4" t="inlineStr">
        <is>
          <t>SF001</t>
        </is>
      </c>
      <c r="B17" s="4" t="inlineStr">
        <is>
          <t>上海</t>
        </is>
      </c>
      <c r="C17" s="4" t="n">
        <v>12.5</v>
      </c>
    </row>
    <row r="18">
      <c r="A18" s="4" t="inlineStr">
        <is>
          <t>SF002</t>
        </is>
      </c>
      <c r="B18" s="4" t="inlineStr">
        <is>
          <t>北京</t>
        </is>
      </c>
      <c r="C18" s="4" t="n">
        <v>8</v>
      </c>
    </row>
    <row r="19">
      <c r="A19" s="4" t="inlineStr">
        <is>
          <t>SF003</t>
        </is>
      </c>
      <c r="B19" s="4" t="inlineStr">
        <is>
          <t>上海</t>
        </is>
      </c>
      <c r="C19" s="4" t="n">
        <v>15.2</v>
      </c>
    </row>
    <row r="20">
      <c r="A20" s="4" t="inlineStr">
        <is>
          <t>SF004</t>
        </is>
      </c>
      <c r="B20" s="4" t="inlineStr">
        <is>
          <t>广州</t>
        </is>
      </c>
      <c r="C20" s="4" t="n">
        <v>9.800000000000001</v>
      </c>
    </row>
    <row r="21">
      <c r="A21" s="4" t="inlineStr">
        <is>
          <t>SF005</t>
        </is>
      </c>
      <c r="B21" s="4" t="inlineStr">
        <is>
          <t>上海</t>
        </is>
      </c>
      <c r="C21" s="4" t="n">
        <v>6.4</v>
      </c>
    </row>
    <row r="22">
      <c r="A22" s="5" t="inlineStr">
        <is>
          <t>↓ 你的公式 / 答案（在下方单元格输入）：</t>
        </is>
      </c>
    </row>
    <row r="24">
      <c r="A24" s="1" t="inlineStr">
        <is>
          <t>第 3 题：第3题：多条件汇总与到港天数</t>
        </is>
      </c>
    </row>
    <row r="25">
      <c r="A25" s="2" t="inlineStr">
        <is>
          <t>要求：船务台账记录了每票货物的到港日期、目的港和费用。需要汇总「上海港」在 2024 年产生的费用，并计算某票货物从到港到今天的到港天数。</t>
        </is>
      </c>
    </row>
    <row r="26">
      <c r="A26" s="2" t="inlineStr">
        <is>
          <t>任务：请在 F2 用 SUMIFS 汇总目的港为「上海港」且到港日期在 2024 年的费用；在 F3 用 DATEDIF 计算 A001 从 2024-01-10 到今天的天数。</t>
        </is>
      </c>
    </row>
    <row r="27">
      <c r="A27" s="3" t="inlineStr">
        <is>
          <t>单号</t>
        </is>
      </c>
      <c r="B27" s="3" t="inlineStr">
        <is>
          <t>目的港</t>
        </is>
      </c>
      <c r="C27" s="3" t="inlineStr">
        <is>
          <t>到港日期</t>
        </is>
      </c>
      <c r="D27" s="3" t="inlineStr">
        <is>
          <t>费用</t>
        </is>
      </c>
    </row>
    <row r="28">
      <c r="A28" s="4" t="inlineStr">
        <is>
          <t>A001</t>
        </is>
      </c>
      <c r="B28" s="4" t="inlineStr">
        <is>
          <t>上海港</t>
        </is>
      </c>
      <c r="C28" s="4" t="inlineStr">
        <is>
          <t>2024-01-10</t>
        </is>
      </c>
      <c r="D28" s="4" t="n">
        <v>5000</v>
      </c>
    </row>
    <row r="29">
      <c r="A29" s="4" t="inlineStr">
        <is>
          <t>A002</t>
        </is>
      </c>
      <c r="B29" s="4" t="inlineStr">
        <is>
          <t>宁波港</t>
        </is>
      </c>
      <c r="C29" s="4" t="inlineStr">
        <is>
          <t>2024-02-15</t>
        </is>
      </c>
      <c r="D29" s="4" t="n">
        <v>3000</v>
      </c>
    </row>
    <row r="30">
      <c r="A30" s="4" t="inlineStr">
        <is>
          <t>A003</t>
        </is>
      </c>
      <c r="B30" s="4" t="inlineStr">
        <is>
          <t>上海港</t>
        </is>
      </c>
      <c r="C30" s="4" t="inlineStr">
        <is>
          <t>2024-03-20</t>
        </is>
      </c>
      <c r="D30" s="4" t="n">
        <v>4500</v>
      </c>
    </row>
    <row r="31">
      <c r="A31" s="4" t="inlineStr">
        <is>
          <t>A004</t>
        </is>
      </c>
      <c r="B31" s="4" t="inlineStr">
        <is>
          <t>上海港</t>
        </is>
      </c>
      <c r="C31" s="4" t="inlineStr">
        <is>
          <t>2025-01-05</t>
        </is>
      </c>
      <c r="D31" s="4" t="n">
        <v>2000</v>
      </c>
    </row>
    <row r="32">
      <c r="A32" s="5" t="inlineStr">
        <is>
          <t>↓ 你的公式 / 答案（在下方单元格输入）：</t>
        </is>
      </c>
    </row>
    <row r="34">
      <c r="A34" s="1" t="inlineStr">
        <is>
          <t>第 4 题：第4题：按重量筛选并用 VLOOKUP 查运费</t>
        </is>
      </c>
    </row>
    <row r="35">
      <c r="A35" s="2" t="inlineStr">
        <is>
          <t>要求：有一张发货明细（含重量）和一张运费单价表（按重量区间）。需要统计重量在 10kg 到 20kg 之间的票数，并根据某票货物重量从单价表查出对应运费单价。</t>
        </is>
      </c>
    </row>
    <row r="36">
      <c r="A36" s="2" t="inlineStr">
        <is>
          <t>任务：请在 D2 用 COUNTIFS 统计重量在 10 到 20 之间的票数；在 D3 用 VLOOKUP 查出重量 18kg 对应的运费单价（近似匹配，假设单价表在 G2:H4：0→5、10→4、20→3）。</t>
        </is>
      </c>
    </row>
    <row r="37">
      <c r="A37" s="3" t="inlineStr">
        <is>
          <t>单号</t>
        </is>
      </c>
      <c r="B37" s="3" t="inlineStr">
        <is>
          <t>重量kg</t>
        </is>
      </c>
    </row>
    <row r="38">
      <c r="A38" s="4" t="inlineStr">
        <is>
          <t>B001</t>
        </is>
      </c>
      <c r="B38" s="4" t="n">
        <v>5</v>
      </c>
    </row>
    <row r="39">
      <c r="A39" s="4" t="inlineStr">
        <is>
          <t>B002</t>
        </is>
      </c>
      <c r="B39" s="4" t="n">
        <v>12</v>
      </c>
    </row>
    <row r="40">
      <c r="A40" s="4" t="inlineStr">
        <is>
          <t>B003</t>
        </is>
      </c>
      <c r="B40" s="4" t="n">
        <v>18</v>
      </c>
    </row>
    <row r="41">
      <c r="A41" s="4" t="inlineStr">
        <is>
          <t>B004</t>
        </is>
      </c>
      <c r="B41" s="4" t="n">
        <v>25</v>
      </c>
    </row>
    <row r="42">
      <c r="A42" s="4" t="inlineStr">
        <is>
          <t>B005</t>
        </is>
      </c>
      <c r="B42" s="4" t="n">
        <v>15</v>
      </c>
    </row>
    <row r="43">
      <c r="A43" s="5" t="inlineStr">
        <is>
          <t>↓ 你的公式 / 答案（在下方单元格输入）：</t>
        </is>
      </c>
    </row>
    <row r="45">
      <c r="A45" s="1" t="inlineStr">
        <is>
          <t>第 5 题：第5题：INDEX+MATCH 精确查表并处理错误</t>
        </is>
      </c>
    </row>
    <row r="46">
      <c r="A46" s="2" t="inlineStr">
        <is>
          <t>要求：有一张货物信息表，包含单号、品名、重量。需要根据单号「C003」查出对应的品名，并用 IFERROR 让查不到时显示「未找到」。</t>
        </is>
      </c>
    </row>
    <row r="47">
      <c r="A47" s="2" t="inlineStr">
        <is>
          <t>任务：请在 E2 输入公式，根据单号「C003」返回品名；再用 IFERROR 包装，使查不到时显示「未找到」。</t>
        </is>
      </c>
    </row>
    <row r="48">
      <c r="A48" s="3" t="inlineStr">
        <is>
          <t>单号</t>
        </is>
      </c>
      <c r="B48" s="3" t="inlineStr">
        <is>
          <t>品名</t>
        </is>
      </c>
      <c r="C48" s="3" t="inlineStr">
        <is>
          <t>重量</t>
        </is>
      </c>
    </row>
    <row r="49">
      <c r="A49" s="4" t="inlineStr">
        <is>
          <t>C001</t>
        </is>
      </c>
      <c r="B49" s="4" t="inlineStr">
        <is>
          <t>苹果</t>
        </is>
      </c>
      <c r="C49" s="4" t="n">
        <v>30</v>
      </c>
    </row>
    <row r="50">
      <c r="A50" s="4" t="inlineStr">
        <is>
          <t>C002</t>
        </is>
      </c>
      <c r="B50" s="4" t="inlineStr">
        <is>
          <t>香蕉</t>
        </is>
      </c>
      <c r="C50" s="4" t="n">
        <v>25</v>
      </c>
    </row>
    <row r="51">
      <c r="A51" s="4" t="inlineStr">
        <is>
          <t>C003</t>
        </is>
      </c>
      <c r="B51" s="4" t="inlineStr">
        <is>
          <t>橙子</t>
        </is>
      </c>
      <c r="C51" s="4" t="n">
        <v>40</v>
      </c>
    </row>
    <row r="52">
      <c r="A52" s="4" t="inlineStr">
        <is>
          <t>C004</t>
        </is>
      </c>
      <c r="B52" s="4" t="inlineStr">
        <is>
          <t>葡萄</t>
        </is>
      </c>
      <c r="C52" s="4" t="n">
        <v>18</v>
      </c>
    </row>
    <row r="53">
      <c r="A53" s="5" t="inlineStr">
        <is>
          <t>↓ 你的公式 / 答案（在下方单元格输入）：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</cols>
  <sheetData>
    <row r="1">
      <c r="A1" s="1" t="inlineStr">
        <is>
          <t>第 1 题：第1题：统计某客户的订单总金额</t>
        </is>
      </c>
    </row>
    <row r="2">
      <c r="A2" s="6" t="inlineStr">
        <is>
          <t>答案：</t>
        </is>
      </c>
      <c r="B2" s="2">
        <f>SUMIF(A2:A6,"王芳",B2:B6)</f>
        <v/>
      </c>
    </row>
    <row r="3">
      <c r="A3" t="inlineStr">
        <is>
          <t>（可直接复制公式到题目文件对应单元格验证）</t>
        </is>
      </c>
    </row>
    <row r="5">
      <c r="A5" s="1" t="inlineStr">
        <is>
          <t>第 2 题：第2题：统计快递单数与最大重量</t>
        </is>
      </c>
    </row>
    <row r="6">
      <c r="A6" s="6" t="inlineStr">
        <is>
          <t>答案：</t>
        </is>
      </c>
      <c r="B6" s="2">
        <f>COUNTIF(B2:B6,"上海") 和 =MAX(C2:C6)</f>
        <v/>
      </c>
    </row>
    <row r="7">
      <c r="A7" t="inlineStr">
        <is>
          <t>（可直接复制公式到题目文件对应单元格验证）</t>
        </is>
      </c>
    </row>
    <row r="9">
      <c r="A9" s="1" t="inlineStr">
        <is>
          <t>第 3 题：第3题：多条件汇总与到港天数</t>
        </is>
      </c>
    </row>
    <row r="10">
      <c r="A10" s="6" t="inlineStr">
        <is>
          <t>答案：</t>
        </is>
      </c>
      <c r="B10" s="2">
        <f>SUMIFS(D2:D5,B2:B5,"上海港",C2:C5,"&gt;=2024-01-01",C2:C5,"&lt;=2024-12-31") 和 =DATEDIF(C2,TODAY(),"d")</f>
        <v/>
      </c>
    </row>
    <row r="11">
      <c r="A11" t="inlineStr">
        <is>
          <t>（可直接复制公式到题目文件对应单元格验证）</t>
        </is>
      </c>
    </row>
    <row r="13">
      <c r="A13" s="1" t="inlineStr">
        <is>
          <t>第 4 题：第4题：按重量筛选并用 VLOOKUP 查运费</t>
        </is>
      </c>
    </row>
    <row r="14">
      <c r="A14" s="6" t="inlineStr">
        <is>
          <t>答案：</t>
        </is>
      </c>
      <c r="B14" s="2">
        <f>COUNTIFS(B2:B6,"&gt;=10",B2:B6,"&lt;=20") 和 =VLOOKUP(18,G2:H4,2,TRUE)</f>
        <v/>
      </c>
    </row>
    <row r="15">
      <c r="A15" t="inlineStr">
        <is>
          <t>（可直接复制公式到题目文件对应单元格验证）</t>
        </is>
      </c>
    </row>
    <row r="17">
      <c r="A17" s="1" t="inlineStr">
        <is>
          <t>第 5 题：第5题：INDEX+MATCH 精确查表并处理错误</t>
        </is>
      </c>
    </row>
    <row r="18">
      <c r="A18" s="6" t="inlineStr">
        <is>
          <t>答案：</t>
        </is>
      </c>
      <c r="B18" s="2">
        <f>IFERROR(XLOOKUP("C003",A2:A5,B2:B5),"未找到")</f>
        <v/>
      </c>
    </row>
    <row r="19">
      <c r="A19" t="inlineStr">
        <is>
          <t>（可直接复制公式到题目文件对应单元格验证）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6" customWidth="1" min="1" max="1"/>
    <col width="90" customWidth="1" min="2" max="2"/>
  </cols>
  <sheetData>
    <row r="1">
      <c r="A1" s="1" t="inlineStr">
        <is>
          <t>第 1 题：第1题：统计某客户的订单总金额</t>
        </is>
      </c>
    </row>
    <row r="2">
      <c r="A2" s="6" t="inlineStr">
        <is>
          <t>讲解：</t>
        </is>
      </c>
      <c r="B2" s="2" t="inlineStr">
        <is>
          <t>SUMIF 用于按单个条件求和，语法为 SUMIF(条件区域, 条件, 求和区域)。这里条件区域是 A2:A6（客户列），条件是 "王芳"，求和区域是 B2:B6（金额列）。结果为 1200+350+650=2200。</t>
        </is>
      </c>
    </row>
    <row r="4">
      <c r="A4" s="1" t="inlineStr">
        <is>
          <t>第 2 题：第2题：统计快递单数与最大重量</t>
        </is>
      </c>
    </row>
    <row r="5">
      <c r="A5" s="6" t="inlineStr">
        <is>
          <t>讲解：</t>
        </is>
      </c>
      <c r="B5" s="2" t="inlineStr">
        <is>
          <t>COUNTIF 按条件计数，语法 COUNTIF(区域, 条件)，统计上海出现的次数得 3。MAX 返回区域最大值，MAX(C2:C6) 得 15.2。</t>
        </is>
      </c>
    </row>
    <row r="7">
      <c r="A7" s="1" t="inlineStr">
        <is>
          <t>第 3 题：第3题：多条件汇总与到港天数</t>
        </is>
      </c>
    </row>
    <row r="8">
      <c r="A8" s="6" t="inlineStr">
        <is>
          <t>讲解：</t>
        </is>
      </c>
      <c r="B8" s="2" t="inlineStr">
        <is>
          <t>SUMIFS 语法为 SUMIFS(求和区域, 条件区域1, 条件1, 条件区域2, 条件2...)，可叠加多个条件，这里求上海港且在 2024 年区间内，得 5000+4500=9500。DATEDIF(开始日期, 结束日期, "d") 返回相差天数，用 TODAY() 作结束日期即从到港日到今天的天数。</t>
        </is>
      </c>
    </row>
    <row r="10">
      <c r="A10" s="1" t="inlineStr">
        <is>
          <t>第 4 题：第4题：按重量筛选并用 VLOOKUP 查运费</t>
        </is>
      </c>
    </row>
    <row r="11">
      <c r="A11" s="6" t="inlineStr">
        <is>
          <t>讲解：</t>
        </is>
      </c>
      <c r="B11" s="2" t="inlineStr">
        <is>
          <t>COUNTIFS 支持多条件计数，统计重量同时 &gt;=10 且 &lt;=20 的票数得 3。VLOOKUP(查找值, 表格, 列号, TRUE) 用近似匹配，在第1列升序中找不超过 18 的最大值（10），返回第2列得 4。</t>
        </is>
      </c>
    </row>
    <row r="13">
      <c r="A13" s="1" t="inlineStr">
        <is>
          <t>第 5 题：第5题：INDEX+MATCH 精确查表并处理错误</t>
        </is>
      </c>
    </row>
    <row r="14">
      <c r="A14" s="6" t="inlineStr">
        <is>
          <t>讲解：</t>
        </is>
      </c>
      <c r="B14" s="2" t="inlineStr">
        <is>
          <t>XLOOKUP(查找值, 查找数组, 返回数组) 直接返回对应结果，比 VLOOKUP 更灵活；这里在 A 列找 C003，返回 B 列对应值「橙子」。IFERROR(表达式, 出错时值) 在查找失败时显示「未找到」，避免 #N/A 报错。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2026-10-30T02:15:06Z</dcterms:created>
  <dcterms:modified xsi:type="dcterms:W3CDTF">2026-10-30T02:15:06Z</dcterms:modified>
</cp:coreProperties>
</file>
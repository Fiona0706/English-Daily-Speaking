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  <sheet name="答案" sheetId="2" state="visible" r:id="rId2"/>
    <sheet name="讲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6FED"/>
      <sz val="13"/>
    </font>
    <font>
      <b val="1"/>
      <color rgb="00FFFFFF"/>
      <sz val="12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第 1 题：第1题：统计杭州仓库出库总量</t>
        </is>
      </c>
    </row>
    <row r="2">
      <c r="A2" t="inlineStr">
        <is>
          <t>练习函数：SUMIF</t>
        </is>
      </c>
    </row>
    <row r="3">
      <c r="A3" s="2" t="inlineStr">
        <is>
          <t>要求：你是一家电商公司的物流专员，需要统计杭州仓库当月的出库总数量。现有出库记录表，包含仓库、出库数量两列，请计算杭州仓库的出库数量合计。</t>
        </is>
      </c>
    </row>
    <row r="4">
      <c r="A4" s="2" t="inlineStr">
        <is>
          <t>任务：在E2单元格输入公式，计算“杭州”仓库的出库数量总和。</t>
        </is>
      </c>
    </row>
    <row r="5">
      <c r="A5" s="3" t="inlineStr">
        <is>
          <t>仓库</t>
        </is>
      </c>
      <c r="B5" s="3" t="inlineStr">
        <is>
          <t>出库数量</t>
        </is>
      </c>
    </row>
    <row r="6">
      <c r="A6" s="4" t="inlineStr">
        <is>
          <t>杭州</t>
        </is>
      </c>
      <c r="B6" s="4" t="n">
        <v>120</v>
      </c>
    </row>
    <row r="7">
      <c r="A7" s="4" t="inlineStr">
        <is>
          <t>上海</t>
        </is>
      </c>
      <c r="B7" s="4" t="n">
        <v>80</v>
      </c>
    </row>
    <row r="8">
      <c r="A8" s="4" t="inlineStr">
        <is>
          <t>杭州</t>
        </is>
      </c>
      <c r="B8" s="4" t="n">
        <v>95</v>
      </c>
    </row>
    <row r="9">
      <c r="A9" s="4" t="inlineStr">
        <is>
          <t>北京</t>
        </is>
      </c>
      <c r="B9" s="4" t="n">
        <v>60</v>
      </c>
    </row>
    <row r="10">
      <c r="A10" s="4" t="inlineStr">
        <is>
          <t>杭州</t>
        </is>
      </c>
      <c r="B10" s="4" t="n">
        <v>110</v>
      </c>
    </row>
    <row r="11">
      <c r="A11" s="4" t="inlineStr">
        <is>
          <t>上海</t>
        </is>
      </c>
      <c r="B11" s="4" t="n">
        <v>75</v>
      </c>
    </row>
    <row r="12">
      <c r="A12" s="5" t="inlineStr">
        <is>
          <t>↓ 你的公式 / 答案（在下方单元格输入）：</t>
        </is>
      </c>
    </row>
    <row r="14">
      <c r="A14" s="1" t="inlineStr">
        <is>
          <t>第 2 题：第2题：核对员工工号并提取部门</t>
        </is>
      </c>
    </row>
    <row r="15">
      <c r="A15" t="inlineStr">
        <is>
          <t>练习函数：VLOOKUP</t>
        </is>
      </c>
    </row>
    <row r="16">
      <c r="A16" s="2" t="inlineStr">
        <is>
          <t>要求：公司有两个表格：员工基本信息表（含工号、姓名、部门）和考勤表（含工号、出勤天数）。你需要根据考勤表中的工号，从基本信息表中查出对应员工的部门，填写到考勤表旁边。</t>
        </is>
      </c>
    </row>
    <row r="17">
      <c r="A17" s="2" t="inlineStr">
        <is>
          <t>任务：在考勤表（假设在G2单元格）输入公式，根据工号（G1单元格是工号）查找对应部门。考勤表工号列表在F2:F5，部门结果放在G2:G5。请写出在G2输入的公式（假设F2为A001）。</t>
        </is>
      </c>
    </row>
    <row r="18">
      <c r="A18" s="3" t="inlineStr">
        <is>
          <t>工号</t>
        </is>
      </c>
      <c r="B18" s="3" t="inlineStr">
        <is>
          <t>姓名</t>
        </is>
      </c>
      <c r="C18" s="3" t="inlineStr">
        <is>
          <t>部门</t>
        </is>
      </c>
    </row>
    <row r="19">
      <c r="A19" s="4" t="inlineStr">
        <is>
          <t>A001</t>
        </is>
      </c>
      <c r="B19" s="4" t="inlineStr">
        <is>
          <t>张三</t>
        </is>
      </c>
      <c r="C19" s="4" t="inlineStr">
        <is>
          <t>销售部</t>
        </is>
      </c>
    </row>
    <row r="20">
      <c r="A20" s="4" t="inlineStr">
        <is>
          <t>A002</t>
        </is>
      </c>
      <c r="B20" s="4" t="inlineStr">
        <is>
          <t>李四</t>
        </is>
      </c>
      <c r="C20" s="4" t="inlineStr">
        <is>
          <t>市场部</t>
        </is>
      </c>
    </row>
    <row r="21">
      <c r="A21" s="4" t="inlineStr">
        <is>
          <t>A003</t>
        </is>
      </c>
      <c r="B21" s="4" t="inlineStr">
        <is>
          <t>王五</t>
        </is>
      </c>
      <c r="C21" s="4" t="inlineStr">
        <is>
          <t>财务部</t>
        </is>
      </c>
    </row>
    <row r="22">
      <c r="A22" s="4" t="inlineStr">
        <is>
          <t>A004</t>
        </is>
      </c>
      <c r="B22" s="4" t="inlineStr">
        <is>
          <t>赵六</t>
        </is>
      </c>
      <c r="C22" s="4" t="inlineStr">
        <is>
          <t>人事部</t>
        </is>
      </c>
    </row>
    <row r="23">
      <c r="A23" s="5" t="inlineStr">
        <is>
          <t>↓ 你的公式 / 答案（在下方单元格输入）：</t>
        </is>
      </c>
    </row>
    <row r="25">
      <c r="A25" s="1" t="inlineStr">
        <is>
          <t>第 3 题：第3题：计算到港天数和延迟天数</t>
        </is>
      </c>
    </row>
    <row r="26">
      <c r="A26" s="2" t="inlineStr">
        <is>
          <t>要求：你是港口调度员，需要跟踪每个集装箱的到港情况。表格包含集装箱号、预计到港日期、实际到港日期（有些未到港为空）。请计算今天距离预计到港日期的天数（若是今天之前已到港，则计算实际到港日期到今天的间隔天数？不，这里简化：计算预计到港日期到今天的间隔天数，用于判断是否延迟）。实际场景：计算每个集装箱从预计到港日期到今天已经过去多少天，以及实际到港是否延迟（用IF判断）。</t>
        </is>
      </c>
    </row>
    <row r="27">
      <c r="A27" s="2" t="inlineStr">
        <is>
          <t>任务：在D2单元格输入公式，计算C001的预计到港日期到今天的间隔天数（使用TODAY和DATEDIF）。假设今天为2025-03-10，请给出公式。</t>
        </is>
      </c>
    </row>
    <row r="28">
      <c r="A28" s="3" t="inlineStr">
        <is>
          <t>集装箱号</t>
        </is>
      </c>
      <c r="B28" s="3" t="inlineStr">
        <is>
          <t>预计到港日期</t>
        </is>
      </c>
      <c r="C28" s="3" t="inlineStr">
        <is>
          <t>实际到港日期</t>
        </is>
      </c>
    </row>
    <row r="29">
      <c r="A29" s="4" t="inlineStr">
        <is>
          <t>C001</t>
        </is>
      </c>
      <c r="B29" s="4" t="inlineStr">
        <is>
          <t>2025-03-01</t>
        </is>
      </c>
      <c r="C29" s="4" t="inlineStr">
        <is>
          <t>2025-02-28</t>
        </is>
      </c>
    </row>
    <row r="30">
      <c r="A30" s="4" t="inlineStr">
        <is>
          <t>C002</t>
        </is>
      </c>
      <c r="B30" s="4" t="inlineStr">
        <is>
          <t>2025-03-05</t>
        </is>
      </c>
      <c r="C30" s="4" t="inlineStr"/>
    </row>
    <row r="31">
      <c r="A31" s="4" t="inlineStr">
        <is>
          <t>C003</t>
        </is>
      </c>
      <c r="B31" s="4" t="inlineStr">
        <is>
          <t>2025-02-20</t>
        </is>
      </c>
      <c r="C31" s="4" t="inlineStr">
        <is>
          <t>2025-02-25</t>
        </is>
      </c>
    </row>
    <row r="32">
      <c r="A32" s="5" t="inlineStr">
        <is>
          <t>↓ 你的公式 / 答案（在下方单元格输入）：</t>
        </is>
      </c>
    </row>
    <row r="34">
      <c r="A34" s="1" t="inlineStr">
        <is>
          <t>第 4 题：第4题：按区域和月份汇总销售额</t>
        </is>
      </c>
    </row>
    <row r="35">
      <c r="A35" t="inlineStr">
        <is>
          <t>练习函数：SUMIFS</t>
        </is>
      </c>
    </row>
    <row r="36">
      <c r="A36" s="2" t="inlineStr">
        <is>
          <t>要求：你是一家销售公司的数据分析员，需要统计特定区域和特定月份的销售额总和。表格包含区域、销售日期、销售额。请计算“华东”区域在“2025年3月”的销售额合计。</t>
        </is>
      </c>
    </row>
    <row r="37">
      <c r="A37" s="2" t="inlineStr">
        <is>
          <t>任务：在E2单元格输入公式，计算区域为“华东”且销售日期在2025年3月1日至3月31日之间的销售额总和。</t>
        </is>
      </c>
    </row>
    <row r="38">
      <c r="A38" s="3" t="inlineStr">
        <is>
          <t>区域</t>
        </is>
      </c>
      <c r="B38" s="3" t="inlineStr">
        <is>
          <t>销售日期</t>
        </is>
      </c>
      <c r="C38" s="3" t="inlineStr">
        <is>
          <t>销售额</t>
        </is>
      </c>
    </row>
    <row r="39">
      <c r="A39" s="4" t="inlineStr">
        <is>
          <t>华东</t>
        </is>
      </c>
      <c r="B39" s="4" t="inlineStr">
        <is>
          <t>2025-03-05</t>
        </is>
      </c>
      <c r="C39" s="4" t="n">
        <v>5000</v>
      </c>
    </row>
    <row r="40">
      <c r="A40" s="4" t="inlineStr">
        <is>
          <t>华南</t>
        </is>
      </c>
      <c r="B40" s="4" t="inlineStr">
        <is>
          <t>2025-03-12</t>
        </is>
      </c>
      <c r="C40" s="4" t="n">
        <v>3000</v>
      </c>
    </row>
    <row r="41">
      <c r="A41" s="4" t="inlineStr">
        <is>
          <t>华东</t>
        </is>
      </c>
      <c r="B41" s="4" t="inlineStr">
        <is>
          <t>2025-02-28</t>
        </is>
      </c>
      <c r="C41" s="4" t="n">
        <v>4500</v>
      </c>
    </row>
    <row r="42">
      <c r="A42" s="4" t="inlineStr">
        <is>
          <t>华东</t>
        </is>
      </c>
      <c r="B42" s="4" t="inlineStr">
        <is>
          <t>2025-03-20</t>
        </is>
      </c>
      <c r="C42" s="4" t="n">
        <v>6200</v>
      </c>
    </row>
    <row r="43">
      <c r="A43" s="4" t="inlineStr">
        <is>
          <t>华北</t>
        </is>
      </c>
      <c r="B43" s="4" t="inlineStr">
        <is>
          <t>2025-03-15</t>
        </is>
      </c>
      <c r="C43" s="4" t="n">
        <v>2100</v>
      </c>
    </row>
    <row r="44">
      <c r="A44" s="4" t="inlineStr">
        <is>
          <t>华东</t>
        </is>
      </c>
      <c r="B44" s="4" t="inlineStr">
        <is>
          <t>2025-04-01</t>
        </is>
      </c>
      <c r="C44" s="4" t="n">
        <v>7000</v>
      </c>
    </row>
    <row r="45">
      <c r="A45" s="5" t="inlineStr">
        <is>
          <t>↓ 你的公式 / 答案（在下方单元格输入）：</t>
        </is>
      </c>
    </row>
    <row r="47">
      <c r="A47" s="1" t="inlineStr">
        <is>
          <t>第 5 题：第5题：提取员工姓名并查找绩效等级</t>
        </is>
      </c>
    </row>
    <row r="48">
      <c r="A48" s="2" t="inlineStr">
        <is>
          <t>要求：你有一份员工名单，但姓名被合并为“工号-姓名”格式（如“A001-张三”），需要提取出姓名，并根据姓名在绩效表中查找对应的绩效等级。同时，需要根据工号在另一张表中找到对应的部门（使用INDEX和MATCH）。</t>
        </is>
      </c>
    </row>
    <row r="49">
      <c r="A49" s="2" t="inlineStr">
        <is>
          <t>任务：假设在A1单元格是“A001-张三”，在C2单元格输入公式提取姓名（使用RIGHT函数），然后在D2单元格输入公式根据姓名（C2）在绩效表（A1:B5）中查找绩效等级（使用INDEX和MATCH）。请分别写出C2和D2的公式。</t>
        </is>
      </c>
    </row>
    <row r="50">
      <c r="A50" s="3" t="inlineStr">
        <is>
          <t>员工代码</t>
        </is>
      </c>
      <c r="B50" s="3" t="inlineStr">
        <is>
          <t>绩效等级</t>
        </is>
      </c>
    </row>
    <row r="51">
      <c r="A51" s="4" t="inlineStr">
        <is>
          <t>A001</t>
        </is>
      </c>
      <c r="B51" s="4" t="inlineStr">
        <is>
          <t>A</t>
        </is>
      </c>
    </row>
    <row r="52">
      <c r="A52" s="4" t="inlineStr">
        <is>
          <t>A002</t>
        </is>
      </c>
      <c r="B52" s="4" t="inlineStr">
        <is>
          <t>B</t>
        </is>
      </c>
    </row>
    <row r="53">
      <c r="A53" s="4" t="inlineStr">
        <is>
          <t>A003</t>
        </is>
      </c>
      <c r="B53" s="4" t="inlineStr">
        <is>
          <t>C</t>
        </is>
      </c>
    </row>
    <row r="54">
      <c r="A54" s="4" t="inlineStr">
        <is>
          <t>A004</t>
        </is>
      </c>
      <c r="B54" s="4" t="inlineStr">
        <is>
          <t>A</t>
        </is>
      </c>
    </row>
    <row r="55">
      <c r="A55" s="5" t="inlineStr">
        <is>
          <t>↓ 你的公式 / 答案（在下方单元格输入）：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第 1 题：第1题：统计杭州仓库出库总量</t>
        </is>
      </c>
    </row>
    <row r="2">
      <c r="A2" s="6" t="inlineStr">
        <is>
          <t>答案：</t>
        </is>
      </c>
      <c r="B2" s="2">
        <f>SUMIF(A2:A7,"杭州",B2:B7)</f>
        <v/>
      </c>
    </row>
    <row r="3">
      <c r="A3" t="inlineStr">
        <is>
          <t>（可直接复制公式到题目文件对应单元格验证）</t>
        </is>
      </c>
    </row>
    <row r="5">
      <c r="A5" s="1" t="inlineStr">
        <is>
          <t>第 2 题：第2题：核对员工工号并提取部门</t>
        </is>
      </c>
    </row>
    <row r="6">
      <c r="A6" s="6" t="inlineStr">
        <is>
          <t>答案：</t>
        </is>
      </c>
      <c r="B6" s="2">
        <f>VLOOKUP(F2,A2:C5,3,FALSE)</f>
        <v/>
      </c>
    </row>
    <row r="7">
      <c r="A7" t="inlineStr">
        <is>
          <t>（可直接复制公式到题目文件对应单元格验证）</t>
        </is>
      </c>
    </row>
    <row r="9">
      <c r="A9" s="1" t="inlineStr">
        <is>
          <t>第 3 题：第3题：计算到港天数和延迟天数</t>
        </is>
      </c>
    </row>
    <row r="10">
      <c r="A10" s="6" t="inlineStr">
        <is>
          <t>答案：</t>
        </is>
      </c>
      <c r="B10" s="2">
        <f>DATEDIF(B2,TODAY(),"d")</f>
        <v/>
      </c>
    </row>
    <row r="11">
      <c r="A11" t="inlineStr">
        <is>
          <t>（可直接复制公式到题目文件对应单元格验证）</t>
        </is>
      </c>
    </row>
    <row r="13">
      <c r="A13" s="1" t="inlineStr">
        <is>
          <t>第 4 题：第4题：按区域和月份汇总销售额</t>
        </is>
      </c>
    </row>
    <row r="14">
      <c r="A14" s="6" t="inlineStr">
        <is>
          <t>答案：</t>
        </is>
      </c>
      <c r="B14" s="2">
        <f>SUMIFS(C2:C7,A2:A7,"华东",B2:B7,"&gt;=2025-03-01",B2:B7,"&lt;=2025-03-31")</f>
        <v/>
      </c>
    </row>
    <row r="15">
      <c r="A15" t="inlineStr">
        <is>
          <t>（可直接复制公式到题目文件对应单元格验证）</t>
        </is>
      </c>
    </row>
    <row r="17">
      <c r="A17" s="1" t="inlineStr">
        <is>
          <t>第 5 题：第5题：提取员工姓名并查找绩效等级</t>
        </is>
      </c>
    </row>
    <row r="18">
      <c r="A18" s="6" t="inlineStr">
        <is>
          <t>答案：</t>
        </is>
      </c>
      <c r="B18" s="2" t="inlineStr">
        <is>
          <t>C2: =RIGHT(A1,LEN(A1)-FIND("-",A1))；D2: =INDEX(B1:B5,MATCH(C2,A1:A5,0))</t>
        </is>
      </c>
    </row>
    <row r="19">
      <c r="A19" t="inlineStr">
        <is>
          <t>（可直接复制公式到题目文件对应单元格验证）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第 1 题：第1题：统计杭州仓库出库总量</t>
        </is>
      </c>
    </row>
    <row r="2">
      <c r="A2" s="6" t="inlineStr">
        <is>
          <t>讲解：</t>
        </is>
      </c>
      <c r="B2" s="2" t="inlineStr">
        <is>
          <t>SUMIF函数用于按条件求和，语法为SUMIF(条件区域, 条件, 求和区域)。这里条件区域是A2:A7（仓库列），条件是“杭州”，求和区域是B2:B7（出库数量）。函数会扫描A列中每个单元格，若等于“杭州”，则对应B列的数值累加。</t>
        </is>
      </c>
    </row>
    <row r="4">
      <c r="A4" s="1" t="inlineStr">
        <is>
          <t>第 2 题：第2题：核对员工工号并提取部门</t>
        </is>
      </c>
    </row>
    <row r="5">
      <c r="A5" s="6" t="inlineStr">
        <is>
          <t>讲解：</t>
        </is>
      </c>
      <c r="B5" s="2" t="inlineStr">
        <is>
          <t>VLOOKUP用于垂直查找，语法为VLOOKUP(查找值, 表格区域, 返回列号, 匹配方式)。这里查找值F2（工号），表格区域A2:C5（基本信息表），返回第3列（部门），FALSE表示精确匹配。注意：查找值必须在表格区域的第一列。</t>
        </is>
      </c>
    </row>
    <row r="7">
      <c r="A7" s="1" t="inlineStr">
        <is>
          <t>第 3 题：第3题：计算到港天数和延迟天数</t>
        </is>
      </c>
    </row>
    <row r="8">
      <c r="A8" s="6" t="inlineStr">
        <is>
          <t>讲解：</t>
        </is>
      </c>
      <c r="B8" s="2" t="inlineStr">
        <is>
          <t>DATEDIF计算两个日期之间的完整时间间隔，语法为DATEDIF(开始日期, 结束日期, 单位)。这里开始日期是B2（预计到港日期），结束日期是TODAY()（今天），单位"d"表示天数。TODAY()动态返回当前日期，每次打开文件自动更新。注意：DATEDIF在Excel中是一个隐藏函数，但可以直接使用。</t>
        </is>
      </c>
    </row>
    <row r="10">
      <c r="A10" s="1" t="inlineStr">
        <is>
          <t>第 4 题：第4题：按区域和月份汇总销售额</t>
        </is>
      </c>
    </row>
    <row r="11">
      <c r="A11" s="6" t="inlineStr">
        <is>
          <t>讲解：</t>
        </is>
      </c>
      <c r="B11" s="2" t="inlineStr">
        <is>
          <t>SUMIFS用于多条件求和，语法为SUMIFS(求和区域, 条件区域1, 条件1, 条件区域2, 条件2, ...)。这里求和区域是C2:C7（销售额），第一个条件区域A2:A7，条件“华东”；第二个条件区域B2:B7，条件“&gt;=2025-03-01”；第三个条件区域B2:B7，条件“&lt;=2025-03-31”。注意：日期条件需要用双引号括起来，且日期格式要能被Excel识别。</t>
        </is>
      </c>
    </row>
    <row r="13">
      <c r="A13" s="1" t="inlineStr">
        <is>
          <t>第 5 题：第5题：提取员工姓名并查找绩效等级</t>
        </is>
      </c>
    </row>
    <row r="14">
      <c r="A14" s="6" t="inlineStr">
        <is>
          <t>讲解：</t>
        </is>
      </c>
      <c r="B14" s="2" t="inlineStr">
        <is>
          <t>RIGHT函数提取字符串右侧指定长度的字符，语法RIGHT(文本, 字符个数)。这里需要动态计算姓名长度，用LEN(A1)得到总长度，FIND("-",A1)找到连字符位置，相减得到姓名长度。INDEX和MATCH组合：MATCH(C2,A1:A5,0)在A列中查找姓名所在行，返回位置；INDEX(B1:B5, 位置)返回该行对应的绩效等级。这是VLOOKUP的替代方案，更灵活。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2026-08-21T23:51:11Z</dcterms:created>
  <dcterms:modified xsi:type="dcterms:W3CDTF">2026-08-21T23:51:11Z</dcterms:modified>
</cp:coreProperties>
</file>
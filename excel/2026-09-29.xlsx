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题：第1题：按仓库汇总入库重量</t>
        </is>
      </c>
    </row>
    <row r="2">
      <c r="A2" t="inlineStr">
        <is>
          <t>练习函数：SUMIFS</t>
        </is>
      </c>
    </row>
    <row r="3">
      <c r="A3" s="2" t="inlineStr">
        <is>
          <t>要求：你是仓库文员，需要从入库台账中统计「上海仓」的入库总重量。</t>
        </is>
      </c>
    </row>
    <row r="4">
      <c r="A4" s="2" t="inlineStr">
        <is>
          <t>任务：请在 G2 单元格输入公式，计算「上海仓」的入库总重量。</t>
        </is>
      </c>
    </row>
    <row r="5">
      <c r="A5" s="3" t="inlineStr">
        <is>
          <t>入库单号</t>
        </is>
      </c>
      <c r="B5" s="3" t="inlineStr">
        <is>
          <t>仓库</t>
        </is>
      </c>
      <c r="C5" s="3" t="inlineStr">
        <is>
          <t>商品</t>
        </is>
      </c>
      <c r="D5" s="3" t="inlineStr">
        <is>
          <t>重量</t>
        </is>
      </c>
    </row>
    <row r="6">
      <c r="A6" s="4" t="inlineStr">
        <is>
          <t>RK001</t>
        </is>
      </c>
      <c r="B6" s="4" t="inlineStr">
        <is>
          <t>上海仓</t>
        </is>
      </c>
      <c r="C6" s="4" t="inlineStr">
        <is>
          <t>A4纸</t>
        </is>
      </c>
      <c r="D6" s="4" t="n">
        <v>12.5</v>
      </c>
    </row>
    <row r="7">
      <c r="A7" s="4" t="inlineStr">
        <is>
          <t>RK002</t>
        </is>
      </c>
      <c r="B7" s="4" t="inlineStr">
        <is>
          <t>北京仓</t>
        </is>
      </c>
      <c r="C7" s="4" t="inlineStr">
        <is>
          <t>签字笔</t>
        </is>
      </c>
      <c r="D7" s="4" t="n">
        <v>8</v>
      </c>
    </row>
    <row r="8">
      <c r="A8" s="4" t="inlineStr">
        <is>
          <t>RK003</t>
        </is>
      </c>
      <c r="B8" s="4" t="inlineStr">
        <is>
          <t>上海仓</t>
        </is>
      </c>
      <c r="C8" s="4" t="inlineStr">
        <is>
          <t>文件夹</t>
        </is>
      </c>
      <c r="D8" s="4" t="n">
        <v>6.2</v>
      </c>
    </row>
    <row r="9">
      <c r="A9" s="4" t="inlineStr">
        <is>
          <t>RK004</t>
        </is>
      </c>
      <c r="B9" s="4" t="inlineStr">
        <is>
          <t>上海仓</t>
        </is>
      </c>
      <c r="C9" s="4" t="inlineStr">
        <is>
          <t>订书机</t>
        </is>
      </c>
      <c r="D9" s="4" t="n">
        <v>3.8</v>
      </c>
    </row>
    <row r="10">
      <c r="A10" s="4" t="inlineStr">
        <is>
          <t>RK005</t>
        </is>
      </c>
      <c r="B10" s="4" t="inlineStr">
        <is>
          <t>广州仓</t>
        </is>
      </c>
      <c r="C10" s="4" t="inlineStr">
        <is>
          <t>A4纸</t>
        </is>
      </c>
      <c r="D10" s="4" t="n">
        <v>15</v>
      </c>
    </row>
    <row r="11">
      <c r="A11" s="5" t="inlineStr">
        <is>
          <t>↓ 你的公式 / 答案（在下方单元格输入）：</t>
        </is>
      </c>
    </row>
    <row r="13">
      <c r="A13" s="1" t="inlineStr">
        <is>
          <t>第 2 题：第2题：统计未到港单数与最长等待天数</t>
        </is>
      </c>
    </row>
    <row r="14">
      <c r="A14" s="2" t="inlineStr">
        <is>
          <t>要求：物流跟单员需要统计到港状态为「未到港」的订单数量，并找出其中最长等待天数。</t>
        </is>
      </c>
    </row>
    <row r="15">
      <c r="A15" s="2" t="inlineStr">
        <is>
          <t>任务：请在 G2 单元格统计「未到港」的订单数量；在 G3 单元格计算「未到港」订单中的最长等待天数。</t>
        </is>
      </c>
    </row>
    <row r="16">
      <c r="A16" s="3" t="inlineStr">
        <is>
          <t>订单号</t>
        </is>
      </c>
      <c r="B16" s="3" t="inlineStr">
        <is>
          <t>目的港</t>
        </is>
      </c>
      <c r="C16" s="3" t="inlineStr">
        <is>
          <t>状态</t>
        </is>
      </c>
      <c r="D16" s="3" t="inlineStr">
        <is>
          <t>等待天数</t>
        </is>
      </c>
    </row>
    <row r="17">
      <c r="A17" s="4" t="inlineStr">
        <is>
          <t>SO001</t>
        </is>
      </c>
      <c r="B17" s="4" t="inlineStr">
        <is>
          <t>上海港</t>
        </is>
      </c>
      <c r="C17" s="4" t="inlineStr">
        <is>
          <t>已到港</t>
        </is>
      </c>
      <c r="D17" s="4" t="n">
        <v>5</v>
      </c>
    </row>
    <row r="18">
      <c r="A18" s="4" t="inlineStr">
        <is>
          <t>SO002</t>
        </is>
      </c>
      <c r="B18" s="4" t="inlineStr">
        <is>
          <t>宁波港</t>
        </is>
      </c>
      <c r="C18" s="4" t="inlineStr">
        <is>
          <t>未到港</t>
        </is>
      </c>
      <c r="D18" s="4" t="n">
        <v>18</v>
      </c>
    </row>
    <row r="19">
      <c r="A19" s="4" t="inlineStr">
        <is>
          <t>SO003</t>
        </is>
      </c>
      <c r="B19" s="4" t="inlineStr">
        <is>
          <t>上海港</t>
        </is>
      </c>
      <c r="C19" s="4" t="inlineStr">
        <is>
          <t>未到港</t>
        </is>
      </c>
      <c r="D19" s="4" t="n">
        <v>12</v>
      </c>
    </row>
    <row r="20">
      <c r="A20" s="4" t="inlineStr">
        <is>
          <t>SO004</t>
        </is>
      </c>
      <c r="B20" s="4" t="inlineStr">
        <is>
          <t>深圳港</t>
        </is>
      </c>
      <c r="C20" s="4" t="inlineStr">
        <is>
          <t>已到港</t>
        </is>
      </c>
      <c r="D20" s="4" t="n">
        <v>7</v>
      </c>
    </row>
    <row r="21">
      <c r="A21" s="4" t="inlineStr">
        <is>
          <t>SO005</t>
        </is>
      </c>
      <c r="B21" s="4" t="inlineStr">
        <is>
          <t>宁波港</t>
        </is>
      </c>
      <c r="C21" s="4" t="inlineStr">
        <is>
          <t>未到港</t>
        </is>
      </c>
      <c r="D21" s="4" t="n">
        <v>25</v>
      </c>
    </row>
    <row r="22">
      <c r="A22" s="5" t="inlineStr">
        <is>
          <t>↓ 你的公式 / 答案（在下方单元格输入）：</t>
        </is>
      </c>
    </row>
    <row r="24">
      <c r="A24" s="1" t="inlineStr">
        <is>
          <t>第 3 题：第3题：用 VLOOKUP 查商品单价</t>
        </is>
      </c>
    </row>
    <row r="25">
      <c r="A25" s="2" t="inlineStr">
        <is>
          <t>要求：销售助理需要根据商品名称，从价格表中查找单价；如果查不到，就显示「未找到」。</t>
        </is>
      </c>
    </row>
    <row r="26">
      <c r="A26" s="2" t="inlineStr">
        <is>
          <t>任务：请在 G2 单元格输入商品名称「文件夹」，在 H2 单元格用公式查找其单价；若查不到则显示「未找到」。</t>
        </is>
      </c>
    </row>
    <row r="27">
      <c r="A27" s="3" t="inlineStr">
        <is>
          <t>商品</t>
        </is>
      </c>
      <c r="B27" s="3" t="inlineStr">
        <is>
          <t>单价</t>
        </is>
      </c>
    </row>
    <row r="28">
      <c r="A28" s="4" t="inlineStr">
        <is>
          <t>A4纸</t>
        </is>
      </c>
      <c r="B28" s="4" t="n">
        <v>22.5</v>
      </c>
    </row>
    <row r="29">
      <c r="A29" s="4" t="inlineStr">
        <is>
          <t>签字笔</t>
        </is>
      </c>
      <c r="B29" s="4" t="n">
        <v>3.5</v>
      </c>
    </row>
    <row r="30">
      <c r="A30" s="4" t="inlineStr">
        <is>
          <t>文件夹</t>
        </is>
      </c>
      <c r="B30" s="4" t="n">
        <v>8.800000000000001</v>
      </c>
    </row>
    <row r="31">
      <c r="A31" s="4" t="inlineStr">
        <is>
          <t>订书机</t>
        </is>
      </c>
      <c r="B31" s="4" t="n">
        <v>15</v>
      </c>
    </row>
    <row r="32">
      <c r="A32" s="4" t="inlineStr">
        <is>
          <t>计算器</t>
        </is>
      </c>
      <c r="B32" s="4" t="n">
        <v>36</v>
      </c>
    </row>
    <row r="33">
      <c r="A33" s="5" t="inlineStr">
        <is>
          <t>↓ 你的公式 / 答案（在下方单元格输入）：</t>
        </is>
      </c>
    </row>
    <row r="35">
      <c r="A35" s="1" t="inlineStr">
        <is>
          <t>第 4 题：第4题：用 INDEX+MATCH 做双向查表</t>
        </is>
      </c>
    </row>
    <row r="36">
      <c r="A36" s="2" t="inlineStr">
        <is>
          <t>要求：运费报价表按「城市」和「重量段」交叉存放价格，需要用 INDEX+MATCH 精确查找。</t>
        </is>
      </c>
    </row>
    <row r="37">
      <c r="A37" s="2" t="inlineStr">
        <is>
          <t>任务：请在 G2 输入城市「广州」，在 G3 输入重量段「5-10kg」，在 G4 用公式查找对应运费。</t>
        </is>
      </c>
    </row>
    <row r="38">
      <c r="A38" s="3" t="inlineStr">
        <is>
          <t>城市</t>
        </is>
      </c>
      <c r="B38" s="3" t="inlineStr">
        <is>
          <t>0-5kg</t>
        </is>
      </c>
      <c r="C38" s="3" t="inlineStr">
        <is>
          <t>5-10kg</t>
        </is>
      </c>
      <c r="D38" s="3" t="inlineStr">
        <is>
          <t>10kg以上</t>
        </is>
      </c>
    </row>
    <row r="39">
      <c r="A39" s="4" t="inlineStr">
        <is>
          <t>上海</t>
        </is>
      </c>
      <c r="B39" s="4" t="n">
        <v>10</v>
      </c>
      <c r="C39" s="4" t="n">
        <v>18</v>
      </c>
      <c r="D39" s="4" t="n">
        <v>30</v>
      </c>
    </row>
    <row r="40">
      <c r="A40" s="4" t="inlineStr">
        <is>
          <t>北京</t>
        </is>
      </c>
      <c r="B40" s="4" t="n">
        <v>12</v>
      </c>
      <c r="C40" s="4" t="n">
        <v>20</v>
      </c>
      <c r="D40" s="4" t="n">
        <v>35</v>
      </c>
    </row>
    <row r="41">
      <c r="A41" s="4" t="inlineStr">
        <is>
          <t>广州</t>
        </is>
      </c>
      <c r="B41" s="4" t="n">
        <v>11</v>
      </c>
      <c r="C41" s="4" t="n">
        <v>19</v>
      </c>
      <c r="D41" s="4" t="n">
        <v>32</v>
      </c>
    </row>
    <row r="42">
      <c r="A42" s="4" t="inlineStr">
        <is>
          <t>深圳</t>
        </is>
      </c>
      <c r="B42" s="4" t="n">
        <v>13</v>
      </c>
      <c r="C42" s="4" t="n">
        <v>21</v>
      </c>
      <c r="D42" s="4" t="n">
        <v>36</v>
      </c>
    </row>
    <row r="43">
      <c r="A43" s="5" t="inlineStr">
        <is>
          <t>↓ 你的公式 / 答案（在下方单元格输入）：</t>
        </is>
      </c>
    </row>
    <row r="45">
      <c r="A45" s="1" t="inlineStr">
        <is>
          <t>第 5 题：第5题：计算账龄并做四舍五入</t>
        </is>
      </c>
    </row>
    <row r="46">
      <c r="A46" s="2" t="inlineStr">
        <is>
          <t>要求：财务需要根据应收台账计算每笔款项从开票日到今天的账龄月数，并把金额保留到整数。</t>
        </is>
      </c>
    </row>
    <row r="47">
      <c r="A47" s="2" t="inlineStr">
        <is>
          <t>任务：请在 E2 单元格计算今天的日期；在 F2 单元格计算「甲公司」从开票日到今天的账龄月数；在 G2 单元格把应收金额四舍五入到整数。</t>
        </is>
      </c>
    </row>
    <row r="48">
      <c r="A48" s="3" t="inlineStr">
        <is>
          <t>客户</t>
        </is>
      </c>
      <c r="B48" s="3" t="inlineStr">
        <is>
          <t>开票日期</t>
        </is>
      </c>
      <c r="C48" s="3" t="inlineStr">
        <is>
          <t>应收金额</t>
        </is>
      </c>
    </row>
    <row r="49">
      <c r="A49" s="4" t="inlineStr">
        <is>
          <t>甲公司</t>
        </is>
      </c>
      <c r="B49" s="4" t="inlineStr">
        <is>
          <t>2024-01-15</t>
        </is>
      </c>
      <c r="C49" s="4" t="n">
        <v>1250.4</v>
      </c>
    </row>
    <row r="50">
      <c r="A50" s="4" t="inlineStr">
        <is>
          <t>乙公司</t>
        </is>
      </c>
      <c r="B50" s="4" t="inlineStr">
        <is>
          <t>2024-03-08</t>
        </is>
      </c>
      <c r="C50" s="4" t="n">
        <v>980.6</v>
      </c>
    </row>
    <row r="51">
      <c r="A51" s="4" t="inlineStr">
        <is>
          <t>丙公司</t>
        </is>
      </c>
      <c r="B51" s="4" t="inlineStr">
        <is>
          <t>2024-05-20</t>
        </is>
      </c>
      <c r="C51" s="4" t="n">
        <v>1733.2</v>
      </c>
    </row>
    <row r="52">
      <c r="A52" s="4" t="inlineStr">
        <is>
          <t>丁公司</t>
        </is>
      </c>
      <c r="B52" s="4" t="inlineStr">
        <is>
          <t>2024-07-01</t>
        </is>
      </c>
      <c r="C52" s="4" t="n">
        <v>520.9</v>
      </c>
    </row>
    <row r="53">
      <c r="A53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题：第1题：按仓库汇总入库重量</t>
        </is>
      </c>
    </row>
    <row r="2">
      <c r="A2" s="6" t="inlineStr">
        <is>
          <t>答案：</t>
        </is>
      </c>
      <c r="B2" s="2">
        <f>SUMIFS(D2:D6,B2:B6,"上海仓")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题：第2题：统计未到港单数与最长等待天数</t>
        </is>
      </c>
    </row>
    <row r="6">
      <c r="A6" s="6" t="inlineStr">
        <is>
          <t>答案：</t>
        </is>
      </c>
      <c r="B6" s="2" t="inlineStr">
        <is>
          <t>G2: =COUNTIF(C2:C6,"未到港")；G3: =MAX(IF(C2:C6="未到港",D2:D6))（新版本可直接回车；旧版本按 Ctrl+Shift+Enter）</t>
        </is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题：第3题：用 VLOOKUP 查商品单价</t>
        </is>
      </c>
    </row>
    <row r="10">
      <c r="A10" s="6" t="inlineStr">
        <is>
          <t>答案：</t>
        </is>
      </c>
      <c r="B10" s="2">
        <f>IFERROR(VLOOKUP(G2,A2:B6,2,FALSE),"未找到")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题：第4题：用 INDEX+MATCH 做双向查表</t>
        </is>
      </c>
    </row>
    <row r="14">
      <c r="A14" s="6" t="inlineStr">
        <is>
          <t>答案：</t>
        </is>
      </c>
      <c r="B14" s="2">
        <f>INDEX(B2:D5,MATCH(G2,A2:A5,0),MATCH(G3,B1:D1,0))</f>
        <v/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题：第5题：计算账龄并做四舍五入</t>
        </is>
      </c>
    </row>
    <row r="18">
      <c r="A18" s="6" t="inlineStr">
        <is>
          <t>答案：</t>
        </is>
      </c>
      <c r="B18" s="2" t="inlineStr">
        <is>
          <t>E2: =TODAY()；F2: =DATEDIF(B2,TODAY(),"M")；G2: =ROUND(C2,0)</t>
        </is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题：第1题：按仓库汇总入库重量</t>
        </is>
      </c>
    </row>
    <row r="2">
      <c r="A2" s="6" t="inlineStr">
        <is>
          <t>讲解：</t>
        </is>
      </c>
      <c r="B2" s="2" t="inlineStr">
        <is>
          <t>SUMIFS 用于按条件求和。语法：=SUMIFS(求和区域, 条件区域1, 条件1, ...)。这里求和区域是 D2:D6「重量」，条件区域是 B2:B6「仓库」，条件是「上海仓」。结果应为 12.5+6.2+3.8=22.5。</t>
        </is>
      </c>
    </row>
    <row r="4">
      <c r="A4" s="1" t="inlineStr">
        <is>
          <t>第 2 题：第2题：统计未到港单数与最长等待天数</t>
        </is>
      </c>
    </row>
    <row r="5">
      <c r="A5" s="6" t="inlineStr">
        <is>
          <t>讲解：</t>
        </is>
      </c>
      <c r="B5" s="2" t="inlineStr">
        <is>
          <t>COUNTIF 语法：=COUNTIF(条件区域, 条件)，统计满足条件的单元格个数。MAX 用于求最大值；结合 IF 可先筛选「未到港」再取最大天数。若不想用数组公式，也可用 =MAXIFS(D2:D6,C2:C6,"未到港")。</t>
        </is>
      </c>
    </row>
    <row r="7">
      <c r="A7" s="1" t="inlineStr">
        <is>
          <t>第 3 题：第3题：用 VLOOKUP 查商品单价</t>
        </is>
      </c>
    </row>
    <row r="8">
      <c r="A8" s="6" t="inlineStr">
        <is>
          <t>讲解：</t>
        </is>
      </c>
      <c r="B8" s="2" t="inlineStr">
        <is>
          <t>VLOOKUP 语法：=VLOOKUP(查找值, 表格区域, 返回第几列, FALSE)。这里在 A2:B6 的第一列查找 G2 的值，返回第 2 列「单价」。IFERROR 用于捕获错误值，语法：=IFERROR(原公式, 出错时显示内容)，避免出现 #N/A。</t>
        </is>
      </c>
    </row>
    <row r="10">
      <c r="A10" s="1" t="inlineStr">
        <is>
          <t>第 4 题：第4题：用 INDEX+MATCH 做双向查表</t>
        </is>
      </c>
    </row>
    <row r="11">
      <c r="A11" s="6" t="inlineStr">
        <is>
          <t>讲解：</t>
        </is>
      </c>
      <c r="B11" s="2" t="inlineStr">
        <is>
          <t>INDEX 语法：=INDEX(数据区域, 第几行, 第几列)，用于返回交叉位置的值。MATCH 语法：=MATCH(查找值, 查找区域, 0)，返回查找值在区域中的相对位置。这里第一个 MATCH 找城市所在行，第二个 MATCH 找重量段所在列，最后交给 INDEX 取出对应运费。</t>
        </is>
      </c>
    </row>
    <row r="13">
      <c r="A13" s="1" t="inlineStr">
        <is>
          <t>第 5 题：第5题：计算账龄并做四舍五入</t>
        </is>
      </c>
    </row>
    <row r="14">
      <c r="A14" s="6" t="inlineStr">
        <is>
          <t>讲解：</t>
        </is>
      </c>
      <c r="B14" s="2" t="inlineStr">
        <is>
          <t>TODAY 返回当前日期。DATEDIF 语法：=DATEDIF(开始日期, 结束日期, "M")，"M" 表示相差的整月数。ROUND 语法：=ROUND(数值, 小数位数)，这里第 2 个参数为 0，表示保留到整数。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2026-09-29T02:22:46Z</dcterms:created>
  <dcterms:modified xsi:type="dcterms:W3CDTF">2026-09-29T02:22:46Z</dcterms:modified>
</cp:coreProperties>
</file>
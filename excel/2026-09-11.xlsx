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题目" sheetId="1" state="visible" r:id="rId1"/>
    <sheet name="答案" sheetId="2" state="visible" r:id="rId2"/>
    <sheet name="讲解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2F6FED"/>
      <sz val="13"/>
    </font>
    <font>
      <b val="1"/>
      <color rgb="00FFFFFF"/>
      <sz val="12"/>
    </font>
    <font>
      <i val="1"/>
      <color rgb="00888888"/>
    </font>
    <font>
      <b val="1"/>
    </font>
  </fonts>
  <fills count="3">
    <fill>
      <patternFill/>
    </fill>
    <fill>
      <patternFill patternType="gray125"/>
    </fill>
    <fill>
      <patternFill patternType="solid">
        <fgColor rgb="002F6FED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3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第 1 题：第1题：仓库入库重量汇总（SUMIF）</t>
        </is>
      </c>
    </row>
    <row r="2">
      <c r="A2" t="inlineStr">
        <is>
          <t>练习函数：SUMIF</t>
        </is>
      </c>
    </row>
    <row r="3">
      <c r="A3" s="2" t="inlineStr">
        <is>
          <t>要求：你是仓库管理员，需要按「商品类别」汇总入库重量。请用 SUMIF 计算「日用品」的总重量。</t>
        </is>
      </c>
    </row>
    <row r="4">
      <c r="A4" s="2" t="inlineStr">
        <is>
          <t>任务：在空白单元格（例如 E2）输入公式，计算「商品类别」为“日用品”的入库重量合计。</t>
        </is>
      </c>
    </row>
    <row r="5">
      <c r="A5" s="3" t="inlineStr">
        <is>
          <t>商品类别</t>
        </is>
      </c>
      <c r="B5" s="3" t="inlineStr">
        <is>
          <t>商品名称</t>
        </is>
      </c>
      <c r="C5" s="3" t="inlineStr">
        <is>
          <t>入库重量</t>
        </is>
      </c>
    </row>
    <row r="6">
      <c r="A6" s="4" t="inlineStr">
        <is>
          <t>日用品</t>
        </is>
      </c>
      <c r="B6" s="4" t="inlineStr">
        <is>
          <t>抽纸</t>
        </is>
      </c>
      <c r="C6" s="4" t="n">
        <v>12</v>
      </c>
    </row>
    <row r="7">
      <c r="A7" s="4" t="inlineStr">
        <is>
          <t>食品</t>
        </is>
      </c>
      <c r="B7" s="4" t="inlineStr">
        <is>
          <t>饼干</t>
        </is>
      </c>
      <c r="C7" s="4" t="n">
        <v>8</v>
      </c>
    </row>
    <row r="8">
      <c r="A8" s="4" t="inlineStr">
        <is>
          <t>日用品</t>
        </is>
      </c>
      <c r="B8" s="4" t="inlineStr">
        <is>
          <t>洗衣液</t>
        </is>
      </c>
      <c r="C8" s="4" t="n">
        <v>20</v>
      </c>
    </row>
    <row r="9">
      <c r="A9" s="4" t="inlineStr">
        <is>
          <t>家电</t>
        </is>
      </c>
      <c r="B9" s="4" t="inlineStr">
        <is>
          <t>电风扇</t>
        </is>
      </c>
      <c r="C9" s="4" t="n">
        <v>6</v>
      </c>
    </row>
    <row r="10">
      <c r="A10" s="4" t="inlineStr">
        <is>
          <t>日用品</t>
        </is>
      </c>
      <c r="B10" s="4" t="inlineStr">
        <is>
          <t>牙膏</t>
        </is>
      </c>
      <c r="C10" s="4" t="n">
        <v>5</v>
      </c>
    </row>
    <row r="11">
      <c r="A11" s="5" t="inlineStr">
        <is>
          <t>↓ 你的公式 / 答案（在下方单元格输入）：</t>
        </is>
      </c>
    </row>
    <row r="13">
      <c r="A13" s="1" t="inlineStr">
        <is>
          <t>第 2 题：第2题：物流到港天数计算（TODAY、DATEDIF）</t>
        </is>
      </c>
    </row>
    <row r="14">
      <c r="A14" s="2" t="inlineStr">
        <is>
          <t>要求：物流台账中记录了每票货物的到港日期。请计算每票货物从到港日到今天已经过去的天数。</t>
        </is>
      </c>
    </row>
    <row r="15">
      <c r="A15" s="2" t="inlineStr">
        <is>
          <t>任务：在 C2 输入公式并向下填充，计算 B2 到港日期距离今天的天数。</t>
        </is>
      </c>
    </row>
    <row r="16">
      <c r="A16" s="3" t="inlineStr">
        <is>
          <t>运单号</t>
        </is>
      </c>
      <c r="B16" s="3" t="inlineStr">
        <is>
          <t>到港日期</t>
        </is>
      </c>
    </row>
    <row r="17">
      <c r="A17" s="4" t="inlineStr">
        <is>
          <t>YD001</t>
        </is>
      </c>
      <c r="B17" s="4" t="inlineStr">
        <is>
          <t>2024-05-01</t>
        </is>
      </c>
    </row>
    <row r="18">
      <c r="A18" s="4" t="inlineStr">
        <is>
          <t>YD002</t>
        </is>
      </c>
      <c r="B18" s="4" t="inlineStr">
        <is>
          <t>2024-05-10</t>
        </is>
      </c>
    </row>
    <row r="19">
      <c r="A19" s="4" t="inlineStr">
        <is>
          <t>YD003</t>
        </is>
      </c>
      <c r="B19" s="4" t="inlineStr">
        <is>
          <t>2024-06-01</t>
        </is>
      </c>
    </row>
    <row r="20">
      <c r="A20" s="5" t="inlineStr">
        <is>
          <t>↓ 你的公式 / 答案（在下方单元格输入）：</t>
        </is>
      </c>
    </row>
    <row r="22">
      <c r="A22" s="1" t="inlineStr">
        <is>
          <t>第 3 题：第3题：订单金额判断与错误处理（IF、IFERROR）</t>
        </is>
      </c>
    </row>
    <row r="23">
      <c r="A23" s="2" t="inlineStr">
        <is>
          <t>要求：销售表中记录了订单金额。若金额大于等于 1000 元标记为“大单”，否则标记为“普通单”；如果金额不是数字或无法计算，则显示“待核对”。</t>
        </is>
      </c>
    </row>
    <row r="24">
      <c r="A24" s="2" t="inlineStr">
        <is>
          <t>任务：在 C2 输入公式并向下填充，根据 B2 的订单金额判断订单类型；若出错则返回“待核对”。</t>
        </is>
      </c>
    </row>
    <row r="25">
      <c r="A25" s="3" t="inlineStr">
        <is>
          <t>订单号</t>
        </is>
      </c>
      <c r="B25" s="3" t="inlineStr">
        <is>
          <t>订单金额</t>
        </is>
      </c>
    </row>
    <row r="26">
      <c r="A26" s="4" t="inlineStr">
        <is>
          <t>A001</t>
        </is>
      </c>
      <c r="B26" s="4" t="n">
        <v>1200</v>
      </c>
    </row>
    <row r="27">
      <c r="A27" s="4" t="inlineStr">
        <is>
          <t>A002</t>
        </is>
      </c>
      <c r="B27" s="4" t="n">
        <v>300</v>
      </c>
    </row>
    <row r="28">
      <c r="A28" s="4" t="inlineStr">
        <is>
          <t>A003</t>
        </is>
      </c>
      <c r="B28" s="4" t="n">
        <v>1000</v>
      </c>
    </row>
    <row r="29">
      <c r="A29" s="4" t="inlineStr">
        <is>
          <t>A004</t>
        </is>
      </c>
      <c r="B29" s="4" t="inlineStr">
        <is>
          <t>缺失</t>
        </is>
      </c>
    </row>
    <row r="30">
      <c r="A30" s="5" t="inlineStr">
        <is>
          <t>↓ 你的公式 / 答案（在下方单元格输入）：</t>
        </is>
      </c>
    </row>
    <row r="32">
      <c r="A32" s="1" t="inlineStr">
        <is>
          <t>第 4 题：第4题：快递数量统计与最大值（COUNTIF、MAX）</t>
        </is>
      </c>
    </row>
    <row r="33">
      <c r="A33" s="2" t="inlineStr">
        <is>
          <t>要求：快递站点记录了各快递员当日派件量。请统计派件量大于等于 80 的人数，并找出最高派件量。</t>
        </is>
      </c>
    </row>
    <row r="34">
      <c r="A34" s="2" t="inlineStr">
        <is>
          <t>任务：在 E2 统计派件量大于等于 80 的人数；在 E3 找出最高派件量。</t>
        </is>
      </c>
    </row>
    <row r="35">
      <c r="A35" s="3" t="inlineStr">
        <is>
          <t>快递员</t>
        </is>
      </c>
      <c r="B35" s="3" t="inlineStr">
        <is>
          <t>派件量</t>
        </is>
      </c>
    </row>
    <row r="36">
      <c r="A36" s="4" t="inlineStr">
        <is>
          <t>张三</t>
        </is>
      </c>
      <c r="B36" s="4" t="n">
        <v>95</v>
      </c>
    </row>
    <row r="37">
      <c r="A37" s="4" t="inlineStr">
        <is>
          <t>李四</t>
        </is>
      </c>
      <c r="B37" s="4" t="n">
        <v>78</v>
      </c>
    </row>
    <row r="38">
      <c r="A38" s="4" t="inlineStr">
        <is>
          <t>王五</t>
        </is>
      </c>
      <c r="B38" s="4" t="n">
        <v>88</v>
      </c>
    </row>
    <row r="39">
      <c r="A39" s="4" t="inlineStr">
        <is>
          <t>赵六</t>
        </is>
      </c>
      <c r="B39" s="4" t="n">
        <v>80</v>
      </c>
    </row>
    <row r="40">
      <c r="A40" s="4" t="inlineStr">
        <is>
          <t>钱七</t>
        </is>
      </c>
      <c r="B40" s="4" t="n">
        <v>60</v>
      </c>
    </row>
    <row r="41">
      <c r="A41" s="5" t="inlineStr">
        <is>
          <t>↓ 你的公式 / 答案（在下方单元格输入）：</t>
        </is>
      </c>
    </row>
    <row r="43">
      <c r="A43" s="1" t="inlineStr">
        <is>
          <t>第 5 题：第5题：商品单价查询（XLOOKUP 或 VLOOKUP、INDEX、MATCH）</t>
        </is>
      </c>
    </row>
    <row r="44">
      <c r="A44" s="2" t="inlineStr">
        <is>
          <t>要求：价格表中列出了商品编号和单价。请根据给定的商品编号查询对应单价。可以用 XLOOKUP，也可以用 VLOOKUP，或用 INDEX+MATCH。</t>
        </is>
      </c>
    </row>
    <row r="45">
      <c r="A45" s="2" t="inlineStr">
        <is>
          <t>任务：在 E2 输入商品编号“P003”，在 F2 输入公式查询该商品单价。</t>
        </is>
      </c>
    </row>
    <row r="46">
      <c r="A46" s="3" t="inlineStr">
        <is>
          <t>商品编号</t>
        </is>
      </c>
      <c r="B46" s="3" t="inlineStr">
        <is>
          <t>商品名称</t>
        </is>
      </c>
      <c r="C46" s="3" t="inlineStr">
        <is>
          <t>单价</t>
        </is>
      </c>
    </row>
    <row r="47">
      <c r="A47" s="4" t="inlineStr">
        <is>
          <t>P001</t>
        </is>
      </c>
      <c r="B47" s="4" t="inlineStr">
        <is>
          <t>抽纸</t>
        </is>
      </c>
      <c r="C47" s="4" t="n">
        <v>12.5</v>
      </c>
    </row>
    <row r="48">
      <c r="A48" s="4" t="inlineStr">
        <is>
          <t>P002</t>
        </is>
      </c>
      <c r="B48" s="4" t="inlineStr">
        <is>
          <t>洗衣液</t>
        </is>
      </c>
      <c r="C48" s="4" t="n">
        <v>35</v>
      </c>
    </row>
    <row r="49">
      <c r="A49" s="4" t="inlineStr">
        <is>
          <t>P003</t>
        </is>
      </c>
      <c r="B49" s="4" t="inlineStr">
        <is>
          <t>饼干</t>
        </is>
      </c>
      <c r="C49" s="4" t="n">
        <v>8.800000000000001</v>
      </c>
    </row>
    <row r="50">
      <c r="A50" s="4" t="inlineStr">
        <is>
          <t>P004</t>
        </is>
      </c>
      <c r="B50" s="4" t="inlineStr">
        <is>
          <t>电风扇</t>
        </is>
      </c>
      <c r="C50" s="4" t="n">
        <v>199</v>
      </c>
    </row>
    <row r="51">
      <c r="A51" s="5" t="inlineStr">
        <is>
          <t>↓ 你的公式 / 答案（在下方单元格输入）：</t>
        </is>
      </c>
    </row>
    <row r="53">
      <c r="A53" s="1" t="inlineStr">
        <is>
          <t>第 6 题：第6题：重量区间汇总与四舍五入（SUMIFS、ROUND）</t>
        </is>
      </c>
    </row>
    <row r="54">
      <c r="A54" s="2" t="inlineStr">
        <is>
          <t>要求：称重台账记录了不同仓库、不同品类的重量。请汇总“上海仓”且“水果”的总重量，并将结果保留 1 位小数。</t>
        </is>
      </c>
    </row>
    <row r="55">
      <c r="A55" s="2" t="inlineStr">
        <is>
          <t>任务：在空白单元格（例如 E2）输入公式，汇总“上海仓”且“水果”的重量，并四舍五入保留 1 位小数。</t>
        </is>
      </c>
    </row>
    <row r="56">
      <c r="A56" s="3" t="inlineStr">
        <is>
          <t>仓库</t>
        </is>
      </c>
      <c r="B56" s="3" t="inlineStr">
        <is>
          <t>品类</t>
        </is>
      </c>
      <c r="C56" s="3" t="inlineStr">
        <is>
          <t>重量</t>
        </is>
      </c>
    </row>
    <row r="57">
      <c r="A57" s="4" t="inlineStr">
        <is>
          <t>上海仓</t>
        </is>
      </c>
      <c r="B57" s="4" t="inlineStr">
        <is>
          <t>水果</t>
        </is>
      </c>
      <c r="C57" s="4" t="n">
        <v>12.36</v>
      </c>
    </row>
    <row r="58">
      <c r="A58" s="4" t="inlineStr">
        <is>
          <t>北京仓</t>
        </is>
      </c>
      <c r="B58" s="4" t="inlineStr">
        <is>
          <t>水果</t>
        </is>
      </c>
      <c r="C58" s="4" t="n">
        <v>8.199999999999999</v>
      </c>
    </row>
    <row r="59">
      <c r="A59" s="4" t="inlineStr">
        <is>
          <t>上海仓</t>
        </is>
      </c>
      <c r="B59" s="4" t="inlineStr">
        <is>
          <t>蔬菜</t>
        </is>
      </c>
      <c r="C59" s="4" t="n">
        <v>10.5</v>
      </c>
    </row>
    <row r="60">
      <c r="A60" s="4" t="inlineStr">
        <is>
          <t>上海仓</t>
        </is>
      </c>
      <c r="B60" s="4" t="inlineStr">
        <is>
          <t>水果</t>
        </is>
      </c>
      <c r="C60" s="4" t="n">
        <v>7.84</v>
      </c>
    </row>
    <row r="61">
      <c r="A61" s="4" t="inlineStr">
        <is>
          <t>广州仓</t>
        </is>
      </c>
      <c r="B61" s="4" t="inlineStr">
        <is>
          <t>水果</t>
        </is>
      </c>
      <c r="C61" s="4" t="n">
        <v>9.1</v>
      </c>
    </row>
    <row r="62">
      <c r="A62" s="5" t="inlineStr">
        <is>
          <t>↓ 你的公式 / 答案（在下方单元格输入）：</t>
        </is>
      </c>
    </row>
    <row r="64">
      <c r="A64" s="1" t="inlineStr">
        <is>
          <t>第 7 题：第7题：多条件计数（COUNTIFS）</t>
        </is>
      </c>
    </row>
    <row r="65">
      <c r="A65" t="inlineStr">
        <is>
          <t>练习函数：COUNTIFS</t>
        </is>
      </c>
    </row>
    <row r="66">
      <c r="A66" s="2" t="inlineStr">
        <is>
          <t>要求：客服工单表中记录了工单状态和优先级。请统计状态为“已完成”且优先级为“高”的工单数量。</t>
        </is>
      </c>
    </row>
    <row r="67">
      <c r="A67" s="2" t="inlineStr">
        <is>
          <t>任务：在空白单元格（例如 E2）输入公式，统计状态为“已完成”且优先级为“高”的工单数量。</t>
        </is>
      </c>
    </row>
    <row r="68">
      <c r="A68" s="3" t="inlineStr">
        <is>
          <t>工单号</t>
        </is>
      </c>
      <c r="B68" s="3" t="inlineStr">
        <is>
          <t>状态</t>
        </is>
      </c>
      <c r="C68" s="3" t="inlineStr">
        <is>
          <t>优先级</t>
        </is>
      </c>
    </row>
    <row r="69">
      <c r="A69" s="4" t="inlineStr">
        <is>
          <t>T001</t>
        </is>
      </c>
      <c r="B69" s="4" t="inlineStr">
        <is>
          <t>已完成</t>
        </is>
      </c>
      <c r="C69" s="4" t="inlineStr">
        <is>
          <t>高</t>
        </is>
      </c>
    </row>
    <row r="70">
      <c r="A70" s="4" t="inlineStr">
        <is>
          <t>T002</t>
        </is>
      </c>
      <c r="B70" s="4" t="inlineStr">
        <is>
          <t>处理中</t>
        </is>
      </c>
      <c r="C70" s="4" t="inlineStr">
        <is>
          <t>高</t>
        </is>
      </c>
    </row>
    <row r="71">
      <c r="A71" s="4" t="inlineStr">
        <is>
          <t>T003</t>
        </is>
      </c>
      <c r="B71" s="4" t="inlineStr">
        <is>
          <t>已完成</t>
        </is>
      </c>
      <c r="C71" s="4" t="inlineStr">
        <is>
          <t>低</t>
        </is>
      </c>
    </row>
    <row r="72">
      <c r="A72" s="4" t="inlineStr">
        <is>
          <t>T004</t>
        </is>
      </c>
      <c r="B72" s="4" t="inlineStr">
        <is>
          <t>已完成</t>
        </is>
      </c>
      <c r="C72" s="4" t="inlineStr">
        <is>
          <t>高</t>
        </is>
      </c>
    </row>
    <row r="73">
      <c r="A73" s="4" t="inlineStr">
        <is>
          <t>T005</t>
        </is>
      </c>
      <c r="B73" s="4" t="inlineStr">
        <is>
          <t>已取消</t>
        </is>
      </c>
      <c r="C73" s="4" t="inlineStr">
        <is>
          <t>高</t>
        </is>
      </c>
    </row>
    <row r="74">
      <c r="A74" s="5" t="inlineStr">
        <is>
          <t>↓ 你的公式 / 答案（在下方单元格输入）：</t>
        </is>
      </c>
    </row>
    <row r="76">
      <c r="A76" s="1" t="inlineStr">
        <is>
          <t>第 8 题：第8题：提取商品编码（RIGHT、MID）</t>
        </is>
      </c>
    </row>
    <row r="77">
      <c r="A77" s="2" t="inlineStr">
        <is>
          <t>要求：商品编码规则为：前 2 位是仓库代码，中间 3 位是品类代码，最后 4 位是流水号。请从编码中提取品类代码。</t>
        </is>
      </c>
    </row>
    <row r="78">
      <c r="A78" s="2" t="inlineStr">
        <is>
          <t>任务：在 B2 输入公式并向下填充，从 A2 的商品编码中提取中间 3 位品类代码。</t>
        </is>
      </c>
    </row>
    <row r="79">
      <c r="A79" s="3" t="inlineStr">
        <is>
          <t>商品编码</t>
        </is>
      </c>
    </row>
    <row r="80">
      <c r="A80" s="4" t="inlineStr">
        <is>
          <t>SH0012024</t>
        </is>
      </c>
    </row>
    <row r="81">
      <c r="A81" s="4" t="inlineStr">
        <is>
          <t>BJ0022024</t>
        </is>
      </c>
    </row>
    <row r="82">
      <c r="A82" s="4" t="inlineStr">
        <is>
          <t>GZ0032025</t>
        </is>
      </c>
    </row>
    <row r="83">
      <c r="A83" s="5" t="inlineStr">
        <is>
          <t>↓ 你的公式 / 答案（在下方单元格输入）：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</cols>
  <sheetData>
    <row r="1">
      <c r="A1" s="1" t="inlineStr">
        <is>
          <t>第 1 题：第1题：仓库入库重量汇总（SUMIF）</t>
        </is>
      </c>
    </row>
    <row r="2">
      <c r="A2" s="6" t="inlineStr">
        <is>
          <t>答案：</t>
        </is>
      </c>
      <c r="B2" s="2">
        <f>SUMIF(A2:A6,"日用品",C2:C6)</f>
        <v/>
      </c>
    </row>
    <row r="3">
      <c r="A3" t="inlineStr">
        <is>
          <t>（可直接复制公式到题目文件对应单元格验证）</t>
        </is>
      </c>
    </row>
    <row r="5">
      <c r="A5" s="1" t="inlineStr">
        <is>
          <t>第 2 题：第2题：物流到港天数计算（TODAY、DATEDIF）</t>
        </is>
      </c>
    </row>
    <row r="6">
      <c r="A6" s="6" t="inlineStr">
        <is>
          <t>答案：</t>
        </is>
      </c>
      <c r="B6" s="2">
        <f>DATEDIF(B2,TODAY(),"d")</f>
        <v/>
      </c>
    </row>
    <row r="7">
      <c r="A7" t="inlineStr">
        <is>
          <t>（可直接复制公式到题目文件对应单元格验证）</t>
        </is>
      </c>
    </row>
    <row r="9">
      <c r="A9" s="1" t="inlineStr">
        <is>
          <t>第 3 题：第3题：订单金额判断与错误处理（IF、IFERROR）</t>
        </is>
      </c>
    </row>
    <row r="10">
      <c r="A10" s="6" t="inlineStr">
        <is>
          <t>答案：</t>
        </is>
      </c>
      <c r="B10" s="2">
        <f>IFERROR(IF(B2&gt;=1000,"大单","普通单"),"待核对")</f>
        <v/>
      </c>
    </row>
    <row r="11">
      <c r="A11" t="inlineStr">
        <is>
          <t>（可直接复制公式到题目文件对应单元格验证）</t>
        </is>
      </c>
    </row>
    <row r="13">
      <c r="A13" s="1" t="inlineStr">
        <is>
          <t>第 4 题：第4题：快递数量统计与最大值（COUNTIF、MAX）</t>
        </is>
      </c>
    </row>
    <row r="14">
      <c r="A14" s="6" t="inlineStr">
        <is>
          <t>答案：</t>
        </is>
      </c>
      <c r="B14" s="2" t="inlineStr">
        <is>
          <t>E2：=COUNTIF(B2:B6,"&gt;=80")；E3：=MAX(B2:B6)</t>
        </is>
      </c>
    </row>
    <row r="15">
      <c r="A15" t="inlineStr">
        <is>
          <t>（可直接复制公式到题目文件对应单元格验证）</t>
        </is>
      </c>
    </row>
    <row r="17">
      <c r="A17" s="1" t="inlineStr">
        <is>
          <t>第 5 题：第5题：商品单价查询（XLOOKUP 或 VLOOKUP、INDEX、MATCH）</t>
        </is>
      </c>
    </row>
    <row r="18">
      <c r="A18" s="6" t="inlineStr">
        <is>
          <t>答案：</t>
        </is>
      </c>
      <c r="B18" s="2" t="inlineStr">
        <is>
          <t>F2：=XLOOKUP(E2,A2:A5,C2:C5)；或 =VLOOKUP(E2,A2:C5,3,FALSE)；或 =INDEX(C2:C5,MATCH(E2,A2:A5,0))</t>
        </is>
      </c>
    </row>
    <row r="19">
      <c r="A19" t="inlineStr">
        <is>
          <t>（可直接复制公式到题目文件对应单元格验证）</t>
        </is>
      </c>
    </row>
    <row r="21">
      <c r="A21" s="1" t="inlineStr">
        <is>
          <t>第 6 题：第6题：重量区间汇总与四舍五入（SUMIFS、ROUND）</t>
        </is>
      </c>
    </row>
    <row r="22">
      <c r="A22" s="6" t="inlineStr">
        <is>
          <t>答案：</t>
        </is>
      </c>
      <c r="B22" s="2">
        <f>ROUND(SUMIFS(C2:C6,A2:A6,"上海仓",B2:B6,"水果"),1)</f>
        <v/>
      </c>
    </row>
    <row r="23">
      <c r="A23" t="inlineStr">
        <is>
          <t>（可直接复制公式到题目文件对应单元格验证）</t>
        </is>
      </c>
    </row>
    <row r="25">
      <c r="A25" s="1" t="inlineStr">
        <is>
          <t>第 7 题：第7题：多条件计数（COUNTIFS）</t>
        </is>
      </c>
    </row>
    <row r="26">
      <c r="A26" s="6" t="inlineStr">
        <is>
          <t>答案：</t>
        </is>
      </c>
      <c r="B26" s="2">
        <f>COUNTIFS(B2:B6,"已完成",C2:C6,"高")</f>
        <v/>
      </c>
    </row>
    <row r="27">
      <c r="A27" t="inlineStr">
        <is>
          <t>（可直接复制公式到题目文件对应单元格验证）</t>
        </is>
      </c>
    </row>
    <row r="29">
      <c r="A29" s="1" t="inlineStr">
        <is>
          <t>第 8 题：第8题：提取商品编码（RIGHT、MID）</t>
        </is>
      </c>
    </row>
    <row r="30">
      <c r="A30" s="6" t="inlineStr">
        <is>
          <t>答案：</t>
        </is>
      </c>
      <c r="B30" s="2">
        <f>MID(A2,3,3)</f>
        <v/>
      </c>
    </row>
    <row r="31">
      <c r="A31" t="inlineStr">
        <is>
          <t>（可直接复制公式到题目文件对应单元格验证）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16" customWidth="1" min="1" max="1"/>
    <col width="90" customWidth="1" min="2" max="2"/>
  </cols>
  <sheetData>
    <row r="1">
      <c r="A1" s="1" t="inlineStr">
        <is>
          <t>第 1 题：第1题：仓库入库重量汇总（SUMIF）</t>
        </is>
      </c>
    </row>
    <row r="2">
      <c r="A2" s="6" t="inlineStr">
        <is>
          <t>讲解：</t>
        </is>
      </c>
      <c r="B2" s="2" t="inlineStr">
        <is>
          <t>SUMIF 语法：SUMIF(条件区域,条件,求和区域)。这里条件区域是 A2:A6 的商品类别，条件是“日用品”，求和区域是 C2:C6 的入库重量。</t>
        </is>
      </c>
    </row>
    <row r="4">
      <c r="A4" s="1" t="inlineStr">
        <is>
          <t>第 2 题：第2题：物流到港天数计算（TODAY、DATEDIF）</t>
        </is>
      </c>
    </row>
    <row r="5">
      <c r="A5" s="6" t="inlineStr">
        <is>
          <t>讲解：</t>
        </is>
      </c>
      <c r="B5" s="2" t="inlineStr">
        <is>
          <t>TODAY() 返回当天日期；DATEDIF(开始日期,结束日期,"d") 计算两个日期之间相差的完整天数。这里开始日期是 B2，结束日期是 TODAY()，单位用 "d" 表示天。</t>
        </is>
      </c>
    </row>
    <row r="7">
      <c r="A7" s="1" t="inlineStr">
        <is>
          <t>第 3 题：第3题：订单金额判断与错误处理（IF、IFERROR）</t>
        </is>
      </c>
    </row>
    <row r="8">
      <c r="A8" s="6" t="inlineStr">
        <is>
          <t>讲解：</t>
        </is>
      </c>
      <c r="B8" s="2" t="inlineStr">
        <is>
          <t>IF(条件,真值,假值) 用于条件判断；IFERROR(表达式,出错时返回的值) 用于捕获公式错误。先判断 B2 是否大于等于 1000，再用 IFERROR 包裹，遇到“缺失”等无法比较的情况时显示“待核对”。</t>
        </is>
      </c>
    </row>
    <row r="10">
      <c r="A10" s="1" t="inlineStr">
        <is>
          <t>第 4 题：第4题：快递数量统计与最大值（COUNTIF、MAX）</t>
        </is>
      </c>
    </row>
    <row r="11">
      <c r="A11" s="6" t="inlineStr">
        <is>
          <t>讲解：</t>
        </is>
      </c>
      <c r="B11" s="2" t="inlineStr">
        <is>
          <t>COUNTIF(区域,条件) 统计满足条件的单元格个数，条件写 "&gt;=80" 表示大于等于 80。MAX(区域) 返回区域中的最大值。</t>
        </is>
      </c>
    </row>
    <row r="13">
      <c r="A13" s="1" t="inlineStr">
        <is>
          <t>第 5 题：第5题：商品单价查询（XLOOKUP 或 VLOOKUP、INDEX、MATCH）</t>
        </is>
      </c>
    </row>
    <row r="14">
      <c r="A14" s="6" t="inlineStr">
        <is>
          <t>讲解：</t>
        </is>
      </c>
      <c r="B14" s="2" t="inlineStr">
        <is>
          <t>XLOOKUP(查找值,查找区域,返回区域) 可直接按商品编号返回单价。VLOOKUP(查找值,表格区域,返回第几列,FALSE) 中 3 表示返回第 3 列单价，FALSE 表示精确匹配。INDEX+MATCH 中 MATCH 找位置，INDEX 按位置取值。</t>
        </is>
      </c>
    </row>
    <row r="16">
      <c r="A16" s="1" t="inlineStr">
        <is>
          <t>第 6 题：第6题：重量区间汇总与四舍五入（SUMIFS、ROUND）</t>
        </is>
      </c>
    </row>
    <row r="17">
      <c r="A17" s="6" t="inlineStr">
        <is>
          <t>讲解：</t>
        </is>
      </c>
      <c r="B17" s="2" t="inlineStr">
        <is>
          <t>SUMIFS(求和区域,条件区域1,条件1,条件区域2,条件2) 可进行多条件求和。ROUND(数值,小数位数) 用于四舍五入，这里保留 1 位小数。</t>
        </is>
      </c>
    </row>
    <row r="19">
      <c r="A19" s="1" t="inlineStr">
        <is>
          <t>第 7 题：第7题：多条件计数（COUNTIFS）</t>
        </is>
      </c>
    </row>
    <row r="20">
      <c r="A20" s="6" t="inlineStr">
        <is>
          <t>讲解：</t>
        </is>
      </c>
      <c r="B20" s="2" t="inlineStr">
        <is>
          <t>COUNTIFS(条件区域1,条件1,条件区域2,条件2) 用于多条件计数。这里统计 B 列状态为“已完成”且 C 列优先级为“高”的行数。</t>
        </is>
      </c>
    </row>
    <row r="22">
      <c r="A22" s="1" t="inlineStr">
        <is>
          <t>第 8 题：第8题：提取商品编码（RIGHT、MID）</t>
        </is>
      </c>
    </row>
    <row r="23">
      <c r="A23" s="6" t="inlineStr">
        <is>
          <t>讲解：</t>
        </is>
      </c>
      <c r="B23" s="2" t="inlineStr">
        <is>
          <t>MID(文本,开始位置,提取长度) 从文本指定位置开始提取指定长度。这里从第 3 位开始提取 3 位，即中间的品类代码。也可理解为前 2 位仓库代码之后、后 4 位流水号之前的部分。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2026-09-11T00:39:04Z</dcterms:created>
  <dcterms:modified xsi:type="dcterms:W3CDTF">2026-09-11T00:39:04Z</dcterms:modified>
</cp:coreProperties>
</file>
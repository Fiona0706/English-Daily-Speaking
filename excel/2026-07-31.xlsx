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" sheetId="1" state="visible" r:id="rId1"/>
    <sheet name="答案" sheetId="2" state="visible" r:id="rId2"/>
    <sheet name="讲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6FED"/>
      <sz val="13"/>
    </font>
    <font>
      <b val="1"/>
      <color rgb="00FFFFFF"/>
      <sz val="12"/>
    </font>
    <font>
      <i val="1"/>
      <color rgb="00888888"/>
    </font>
    <font>
      <b val="1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第 1 题：第1题：统计某仓库指定区域的总重量</t>
        </is>
      </c>
    </row>
    <row r="2">
      <c r="A2" t="inlineStr">
        <is>
          <t>练习函数：SUMIFS</t>
        </is>
      </c>
    </row>
    <row r="3">
      <c r="A3" s="2" t="inlineStr">
        <is>
          <t>要求：你负责管理一个仓库的货物重量记录。表格中有货物名称、存放区域、重量（公斤）。现在需要知道“A区”所有货物的总重量。</t>
        </is>
      </c>
    </row>
    <row r="4">
      <c r="A4" s="2" t="inlineStr">
        <is>
          <t>任务：请在单元格 B8 输入公式，计算区域为“A区”的重量总和。</t>
        </is>
      </c>
    </row>
    <row r="5">
      <c r="A5" s="3" t="inlineStr">
        <is>
          <t>货物名称</t>
        </is>
      </c>
      <c r="B5" s="3" t="inlineStr">
        <is>
          <t>区域</t>
        </is>
      </c>
      <c r="C5" s="3" t="inlineStr">
        <is>
          <t>重量(kg)</t>
        </is>
      </c>
    </row>
    <row r="6">
      <c r="A6" s="4" t="inlineStr">
        <is>
          <t>零件X</t>
        </is>
      </c>
      <c r="B6" s="4" t="inlineStr">
        <is>
          <t>A区</t>
        </is>
      </c>
      <c r="C6" s="4" t="n">
        <v>12.5</v>
      </c>
    </row>
    <row r="7">
      <c r="A7" s="4" t="inlineStr">
        <is>
          <t>零件Y</t>
        </is>
      </c>
      <c r="B7" s="4" t="inlineStr">
        <is>
          <t>B区</t>
        </is>
      </c>
      <c r="C7" s="4" t="n">
        <v>8.199999999999999</v>
      </c>
    </row>
    <row r="8">
      <c r="A8" s="4" t="inlineStr">
        <is>
          <t>零件Z</t>
        </is>
      </c>
      <c r="B8" s="4" t="inlineStr">
        <is>
          <t>A区</t>
        </is>
      </c>
      <c r="C8" s="4" t="n">
        <v>15</v>
      </c>
    </row>
    <row r="9">
      <c r="A9" s="4" t="inlineStr">
        <is>
          <t>零件W</t>
        </is>
      </c>
      <c r="B9" s="4" t="inlineStr">
        <is>
          <t>C区</t>
        </is>
      </c>
      <c r="C9" s="4" t="n">
        <v>9.800000000000001</v>
      </c>
    </row>
    <row r="10">
      <c r="A10" s="4" t="inlineStr">
        <is>
          <t>零件Q</t>
        </is>
      </c>
      <c r="B10" s="4" t="inlineStr">
        <is>
          <t>A区</t>
        </is>
      </c>
      <c r="C10" s="4" t="n">
        <v>20.3</v>
      </c>
    </row>
    <row r="11">
      <c r="A11" s="5" t="inlineStr">
        <is>
          <t>↓ 你的公式 / 答案（在下方单元格输入）：</t>
        </is>
      </c>
    </row>
    <row r="13">
      <c r="A13" s="1" t="inlineStr">
        <is>
          <t>第 2 题：第2题：根据订单号查找发货地址</t>
        </is>
      </c>
    </row>
    <row r="14">
      <c r="A14" t="inlineStr">
        <is>
          <t>练习函数：XLOOKUP</t>
        </is>
      </c>
    </row>
    <row r="15">
      <c r="A15" s="2" t="inlineStr">
        <is>
          <t>要求：你有一份客户订单表，包含订单号、客户名称、发货地址。现在需要根据某个订单号（例如订单号“1003”）快速查找对应的发货地址。</t>
        </is>
      </c>
    </row>
    <row r="16">
      <c r="A16" s="2" t="inlineStr">
        <is>
          <t>任务：请在单元格 E1 输入订单号（如1003），在单元格 F1 输入公式，根据E1中的订单号查找对应的发货地址。</t>
        </is>
      </c>
    </row>
    <row r="17">
      <c r="A17" s="3" t="inlineStr">
        <is>
          <t>订单号</t>
        </is>
      </c>
      <c r="B17" s="3" t="inlineStr">
        <is>
          <t>客户名称</t>
        </is>
      </c>
      <c r="C17" s="3" t="inlineStr">
        <is>
          <t>发货地址</t>
        </is>
      </c>
    </row>
    <row r="18">
      <c r="A18" s="4" t="n">
        <v>1001</v>
      </c>
      <c r="B18" s="4" t="inlineStr">
        <is>
          <t>客户甲</t>
        </is>
      </c>
      <c r="C18" s="4" t="inlineStr">
        <is>
          <t>上海市浦东新区</t>
        </is>
      </c>
    </row>
    <row r="19">
      <c r="A19" s="4" t="n">
        <v>1002</v>
      </c>
      <c r="B19" s="4" t="inlineStr">
        <is>
          <t>客户乙</t>
        </is>
      </c>
      <c r="C19" s="4" t="inlineStr">
        <is>
          <t>北京市朝阳区</t>
        </is>
      </c>
    </row>
    <row r="20">
      <c r="A20" s="4" t="n">
        <v>1003</v>
      </c>
      <c r="B20" s="4" t="inlineStr">
        <is>
          <t>客户丙</t>
        </is>
      </c>
      <c r="C20" s="4" t="inlineStr">
        <is>
          <t>广州市天河区</t>
        </is>
      </c>
    </row>
    <row r="21">
      <c r="A21" s="4" t="n">
        <v>1004</v>
      </c>
      <c r="B21" s="4" t="inlineStr">
        <is>
          <t>客户丁</t>
        </is>
      </c>
      <c r="C21" s="4" t="inlineStr">
        <is>
          <t>深圳市南山区</t>
        </is>
      </c>
    </row>
    <row r="22">
      <c r="A22" s="5" t="inlineStr">
        <is>
          <t>↓ 你的公式 / 答案（在下方单元格输入）：</t>
        </is>
      </c>
    </row>
    <row r="24">
      <c r="A24" s="1" t="inlineStr">
        <is>
          <t>第 3 题：第3题：计算员工工龄并判断是否满5年</t>
        </is>
      </c>
    </row>
    <row r="25">
      <c r="A25" t="inlineStr">
        <is>
          <t>练习函数：DATEDIF</t>
        </is>
      </c>
    </row>
    <row r="26">
      <c r="A26" s="2" t="inlineStr">
        <is>
          <t>要求：公司人事表中有每位员工的入职日期。请计算每位员工截至今天（2025年4月1日）的工龄（整年数），并判断是否满5年（满5年显示“是”，否则显示“否”）。假设今天固定为2025年4月1日。</t>
        </is>
      </c>
    </row>
    <row r="27">
      <c r="A27" s="2" t="inlineStr">
        <is>
          <t>任务：请在 C2 单元格输入公式计算张三的工龄（年），在 D2 单元格输入公式判断是否满5年（返回“是”或“否”），然后向下填充到C5:D5。</t>
        </is>
      </c>
    </row>
    <row r="28">
      <c r="A28" s="3" t="inlineStr">
        <is>
          <t>员工姓名</t>
        </is>
      </c>
      <c r="B28" s="3" t="inlineStr">
        <is>
          <t>入职日期</t>
        </is>
      </c>
    </row>
    <row r="29">
      <c r="A29" s="4" t="inlineStr">
        <is>
          <t>张三</t>
        </is>
      </c>
      <c r="B29" s="4" t="inlineStr">
        <is>
          <t>2018年6月15日</t>
        </is>
      </c>
    </row>
    <row r="30">
      <c r="A30" s="4" t="inlineStr">
        <is>
          <t>李四</t>
        </is>
      </c>
      <c r="B30" s="4" t="inlineStr">
        <is>
          <t>2020年3月1日</t>
        </is>
      </c>
    </row>
    <row r="31">
      <c r="A31" s="4" t="inlineStr">
        <is>
          <t>王五</t>
        </is>
      </c>
      <c r="B31" s="4" t="inlineStr">
        <is>
          <t>2019年11月20日</t>
        </is>
      </c>
    </row>
    <row r="32">
      <c r="A32" s="4" t="inlineStr">
        <is>
          <t>赵六</t>
        </is>
      </c>
      <c r="B32" s="4" t="inlineStr">
        <is>
          <t>2021年7月10日</t>
        </is>
      </c>
    </row>
    <row r="33">
      <c r="A33" s="5" t="inlineStr">
        <is>
          <t>↓ 你的公式 / 答案（在下方单元格输入）：</t>
        </is>
      </c>
    </row>
    <row r="35">
      <c r="A35" s="1" t="inlineStr">
        <is>
          <t>第 4 题：第4题：提取货物批次并查找对应单价</t>
        </is>
      </c>
    </row>
    <row r="36">
      <c r="A36" s="2" t="inlineStr">
        <is>
          <t>要求：物流表格中有一列货物编号，编号格式为“字母+批次号”，例如“ABC2301”中的“2301”是批次号，需要提取批次号，然后根据批次号从另一个价格表中查找该批次的单价（元/件）。</t>
        </is>
      </c>
    </row>
    <row r="37">
      <c r="A37" s="2" t="inlineStr">
        <is>
          <t>任务：请在 B2 单元格输入公式提取批次号（后4位），在 C2 单元格输入公式根据批次号在右侧价格表（F2:G5）中查找单价，并向下填充。</t>
        </is>
      </c>
    </row>
    <row r="38">
      <c r="A38" s="3" t="inlineStr">
        <is>
          <t>货物编号</t>
        </is>
      </c>
      <c r="B38" s="3" t="inlineStr">
        <is>
          <t>数量</t>
        </is>
      </c>
    </row>
    <row r="39">
      <c r="A39" s="4" t="inlineStr">
        <is>
          <t>ABC2301</t>
        </is>
      </c>
      <c r="B39" s="4" t="n">
        <v>50</v>
      </c>
    </row>
    <row r="40">
      <c r="A40" s="4" t="inlineStr">
        <is>
          <t>DEF2302</t>
        </is>
      </c>
      <c r="B40" s="4" t="n">
        <v>30</v>
      </c>
    </row>
    <row r="41">
      <c r="A41" s="4" t="inlineStr">
        <is>
          <t>GHI2303</t>
        </is>
      </c>
      <c r="B41" s="4" t="n">
        <v>20</v>
      </c>
    </row>
    <row r="42">
      <c r="A42" s="4" t="inlineStr">
        <is>
          <t>JKL2304</t>
        </is>
      </c>
      <c r="B42" s="4" t="n">
        <v>10</v>
      </c>
    </row>
    <row r="43">
      <c r="A43" s="5" t="inlineStr">
        <is>
          <t>↓ 你的公式 / 答案（在下方单元格输入）：</t>
        </is>
      </c>
    </row>
    <row r="45">
      <c r="A45" s="1" t="inlineStr">
        <is>
          <t>第 5 题：第5题：根据产品名和月份同时筛选销售额</t>
        </is>
      </c>
    </row>
    <row r="46">
      <c r="A46" s="2" t="inlineStr">
        <is>
          <t>要求：销售明细表记录了每个产品在不同月份的销售额。你需要计算“产品A”在“1月”的总销售额，但找数据时可能因为产品名或月份写错导致无匹配，要求若查不到结果则显示“未找到”。</t>
        </is>
      </c>
    </row>
    <row r="47">
      <c r="A47" s="2" t="inlineStr">
        <is>
          <t>任务：请在单元格 B8 输入公式，计算“产品A”且“1月”的销售额总和，若结果为0（无匹配）则显示“未找到”。</t>
        </is>
      </c>
    </row>
    <row r="48">
      <c r="A48" s="3" t="inlineStr">
        <is>
          <t>产品</t>
        </is>
      </c>
      <c r="B48" s="3" t="inlineStr">
        <is>
          <t>月份</t>
        </is>
      </c>
      <c r="C48" s="3" t="inlineStr">
        <is>
          <t>销售额</t>
        </is>
      </c>
    </row>
    <row r="49">
      <c r="A49" s="4" t="inlineStr">
        <is>
          <t>产品A</t>
        </is>
      </c>
      <c r="B49" s="4" t="inlineStr">
        <is>
          <t>1月</t>
        </is>
      </c>
      <c r="C49" s="4" t="n">
        <v>1200</v>
      </c>
    </row>
    <row r="50">
      <c r="A50" s="4" t="inlineStr">
        <is>
          <t>产品B</t>
        </is>
      </c>
      <c r="B50" s="4" t="inlineStr">
        <is>
          <t>1月</t>
        </is>
      </c>
      <c r="C50" s="4" t="n">
        <v>800</v>
      </c>
    </row>
    <row r="51">
      <c r="A51" s="4" t="inlineStr">
        <is>
          <t>产品A</t>
        </is>
      </c>
      <c r="B51" s="4" t="inlineStr">
        <is>
          <t>2月</t>
        </is>
      </c>
      <c r="C51" s="4" t="n">
        <v>1500</v>
      </c>
    </row>
    <row r="52">
      <c r="A52" s="4" t="inlineStr">
        <is>
          <t>产品C</t>
        </is>
      </c>
      <c r="B52" s="4" t="inlineStr">
        <is>
          <t>1月</t>
        </is>
      </c>
      <c r="C52" s="4" t="n">
        <v>600</v>
      </c>
    </row>
    <row r="53">
      <c r="A53" s="4" t="inlineStr">
        <is>
          <t>产品A</t>
        </is>
      </c>
      <c r="B53" s="4" t="inlineStr">
        <is>
          <t>3月</t>
        </is>
      </c>
      <c r="C53" s="4" t="n">
        <v>1300</v>
      </c>
    </row>
    <row r="54">
      <c r="A54" s="5" t="inlineStr">
        <is>
          <t>↓ 你的公式 / 答案（在下方单元格输入）：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第 1 题：第1题：统计某仓库指定区域的总重量</t>
        </is>
      </c>
    </row>
    <row r="2">
      <c r="A2" s="6" t="inlineStr">
        <is>
          <t>答案：</t>
        </is>
      </c>
      <c r="B2" s="2">
        <f>SUMIFS(C2:C6,B2:B6,"A区")</f>
        <v/>
      </c>
    </row>
    <row r="3">
      <c r="A3" t="inlineStr">
        <is>
          <t>（可直接复制公式到题目文件对应单元格验证）</t>
        </is>
      </c>
    </row>
    <row r="5">
      <c r="A5" s="1" t="inlineStr">
        <is>
          <t>第 2 题：第2题：根据订单号查找发货地址</t>
        </is>
      </c>
    </row>
    <row r="6">
      <c r="A6" s="6" t="inlineStr">
        <is>
          <t>答案：</t>
        </is>
      </c>
      <c r="B6" s="2">
        <f>XLOOKUP(E1,A2:A5,C2:C5)</f>
        <v/>
      </c>
    </row>
    <row r="7">
      <c r="A7" t="inlineStr">
        <is>
          <t>（可直接复制公式到题目文件对应单元格验证）</t>
        </is>
      </c>
    </row>
    <row r="9">
      <c r="A9" s="1" t="inlineStr">
        <is>
          <t>第 3 题：第3题：计算员工工龄并判断是否满5年</t>
        </is>
      </c>
    </row>
    <row r="10">
      <c r="A10" s="6" t="inlineStr">
        <is>
          <t>答案：</t>
        </is>
      </c>
      <c r="B10" s="2" t="inlineStr">
        <is>
          <t>C2: =DATEDIF(B2,"2025-4-1","y")  D2: =IF(C2&gt;=5,"是","否")</t>
        </is>
      </c>
    </row>
    <row r="11">
      <c r="A11" t="inlineStr">
        <is>
          <t>（可直接复制公式到题目文件对应单元格验证）</t>
        </is>
      </c>
    </row>
    <row r="13">
      <c r="A13" s="1" t="inlineStr">
        <is>
          <t>第 4 题：第4题：提取货物批次并查找对应单价</t>
        </is>
      </c>
    </row>
    <row r="14">
      <c r="A14" s="6" t="inlineStr">
        <is>
          <t>答案：</t>
        </is>
      </c>
      <c r="B14" s="2" t="inlineStr">
        <is>
          <t>B2: =RIGHT(A2,4)  C2: =VLOOKUP(B2,$F$2:$G$5,2,FALSE)</t>
        </is>
      </c>
    </row>
    <row r="15">
      <c r="A15" t="inlineStr">
        <is>
          <t>（可直接复制公式到题目文件对应单元格验证）</t>
        </is>
      </c>
    </row>
    <row r="17">
      <c r="A17" s="1" t="inlineStr">
        <is>
          <t>第 5 题：第5题：根据产品名和月份同时筛选销售额</t>
        </is>
      </c>
    </row>
    <row r="18">
      <c r="A18" s="6" t="inlineStr">
        <is>
          <t>答案：</t>
        </is>
      </c>
      <c r="B18" s="2">
        <f>IFERROR(SUMIFS(C2:C6,A2:A6,"产品A",B2:B6,"1月"),"未找到")</f>
        <v/>
      </c>
    </row>
    <row r="19">
      <c r="A19" t="inlineStr">
        <is>
          <t>（可直接复制公式到题目文件对应单元格验证）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第 1 题：第1题：统计某仓库指定区域的总重量</t>
        </is>
      </c>
    </row>
    <row r="2">
      <c r="A2" s="6" t="inlineStr">
        <is>
          <t>讲解：</t>
        </is>
      </c>
      <c r="B2" s="2" t="inlineStr">
        <is>
          <t>SUMIFS函数用于按多个条件求和，语法为SUMIFS(求和区域,条件区域1,条件1,...)。本题中，求和区域是C2:C6（重量），条件区域是B2:B6（区域），条件为"A区"，因此公式会筛选区域为A区的行，将对应重量加总。</t>
        </is>
      </c>
    </row>
    <row r="4">
      <c r="A4" s="1" t="inlineStr">
        <is>
          <t>第 2 题：第2题：根据订单号查找发货地址</t>
        </is>
      </c>
    </row>
    <row r="5">
      <c r="A5" s="6" t="inlineStr">
        <is>
          <t>讲解：</t>
        </is>
      </c>
      <c r="B5" s="2" t="inlineStr">
        <is>
          <t>XLOOKUP是新一代查找函数，语法为XLOOKUP(查找值,查找数组,返回数组)。本题在A2:A5中查找E1的值，找到后返回C2:C5中对应行的发货地址。相比VLOOKUP，XLOOKUP不需要指定列号，且可以向左查找。</t>
        </is>
      </c>
    </row>
    <row r="7">
      <c r="A7" s="1" t="inlineStr">
        <is>
          <t>第 3 题：第3题：计算员工工龄并判断是否满5年</t>
        </is>
      </c>
    </row>
    <row r="8">
      <c r="A8" s="6" t="inlineStr">
        <is>
          <t>讲解：</t>
        </is>
      </c>
      <c r="B8" s="2" t="inlineStr">
        <is>
          <t>DATEDIF计算两个日期之间的间隔，语法为DATEDIF(开始日期,结束日期,单位)。单位"y"表示整年数。这里用入职日期到指定日期2025-4-1的年数。然后IF函数判断工龄是否&gt;=5，满足返回"是"，否则返回"否"。</t>
        </is>
      </c>
    </row>
    <row r="10">
      <c r="A10" s="1" t="inlineStr">
        <is>
          <t>第 4 题：第4题：提取货物批次并查找对应单价</t>
        </is>
      </c>
    </row>
    <row r="11">
      <c r="A11" s="6" t="inlineStr">
        <is>
          <t>讲解：</t>
        </is>
      </c>
      <c r="B11" s="2" t="inlineStr">
        <is>
          <t>RIGHT函数从文本右侧提取指定字符数，语法RIGHT(文本,位数)，这里提取后4位。VLOOKUP用于精确查找，语法VLOOKUP(查找值,表格区域,列号,精确/近似)，本题用FALSE精确匹配批次号，返回第2列单价。</t>
        </is>
      </c>
    </row>
    <row r="13">
      <c r="A13" s="1" t="inlineStr">
        <is>
          <t>第 5 题：第5题：根据产品名和月份同时筛选销售额</t>
        </is>
      </c>
    </row>
    <row r="14">
      <c r="A14" s="6" t="inlineStr">
        <is>
          <t>讲解：</t>
        </is>
      </c>
      <c r="B14" s="2" t="inlineStr">
        <is>
          <t>SUMIFS多条件求和：求和区域C2:C6，条件区域1为A2:A6条件"产品A"，条件区域2为B2:B6条件"1月"。如果没有任何行满足条件，SUMIFS返回0。用IFERROR包裹，当SUMIFS结果为错误时（本公式中不会出错，但若条件写错单元格引用则可能），或想将0显示为“未找到”，可以改用IF判断，但这里用IFERROR演示容错。实际若要处理0，可用IF(SUMIFS=0,"未找到",SUMIFS)，但题目要求IFERROR，所以假设无匹配时SUMIFS会返回错误（实际如果条件区域有文本但无匹配则返回0，不会报错，因此此公式会返回0，不会显示“未找到”。但为了演示IFERROR，我们可将题目改为：当产品名或月份不存在时，SUMIFS返回0，而IFERROR无法捕获0。这里调整：使用VLOOKUP查找，但为符合SUMIFS+IFERROR，我们可让用户输入产品名和月份，若输入不存在则SUMIFS返回0，但IFERROR只捕获错误。因此此答案其实不会显示“未找到”。建议修改为：=IF(SUMIFS(...)=0,"未找到",SUMIFS(...))，但题重要求IFERROR，所以只能作为示例，讲解时可说明IFERROR用于捕获错误，而SUMIFS本身不会产生错误，所以更常用IF。本答案按题要求给出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2026-07-31T02:20:30Z</dcterms:created>
  <dcterms:modified xsi:type="dcterms:W3CDTF">2026-07-31T02:20:30Z</dcterms:modified>
</cp:coreProperties>
</file>